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Jurnal Umum" sheetId="2" state="visible" r:id="rId2"/>
    <sheet name="Buku Besar" sheetId="3" state="visible" r:id="rId3"/>
    <sheet name="Laporan L_R" sheetId="4" state="visible" r:id="rId4"/>
    <sheet name="Neraca" sheetId="5" state="visible" r:id="rId5"/>
    <sheet name="Kategor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Rp &quot;#,##0;[Red]&quot;Rp (&quot;#,##0&quot;)&quot;;&quot;Rp &quot;-"/>
    <numFmt numFmtId="165" formatCode="yyyy-mm-dd h:mm:ss"/>
    <numFmt numFmtId="166" formatCode="yyyy-mm-dd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b val="1"/>
      <color rgb="00FFFFFF"/>
      <sz val="11"/>
    </font>
    <font>
      <name val="Calibri"/>
      <b val="1"/>
      <sz val="14"/>
    </font>
    <font>
      <name val="Calibri"/>
      <b val="1"/>
      <sz val="11"/>
    </font>
    <font>
      <name val="Calibri"/>
      <sz val="10"/>
    </font>
    <font>
      <name val="Calibri"/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DBEAFE"/>
      </patternFill>
    </fill>
    <fill>
      <patternFill patternType="solid">
        <fgColor rgb="002563EB"/>
      </patternFill>
    </fill>
    <fill>
      <patternFill patternType="solid">
        <fgColor rgb="00F8FAFC"/>
      </patternFill>
    </fill>
    <fill>
      <patternFill patternType="solid">
        <fgColor rgb="00FEF3C7"/>
      </patternFill>
    </fill>
    <fill>
      <patternFill patternType="solid">
        <fgColor rgb="000F172A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1E3A8A"/>
      </left>
      <right style="medium">
        <color rgb="001E3A8A"/>
      </right>
      <top style="medium">
        <color rgb="001E3A8A"/>
      </top>
      <bottom style="medium">
        <color rgb="001E3A8A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164" fontId="3" fillId="0" borderId="2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166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164" fontId="5" fillId="5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/>
    </xf>
    <xf numFmtId="0" fontId="4" fillId="6" borderId="2" applyAlignment="1" pivotButton="0" quotePrefix="0" xfId="0">
      <alignment horizontal="left" vertical="center" wrapText="1"/>
    </xf>
    <xf numFmtId="164" fontId="4" fillId="6" borderId="2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164" fontId="0" fillId="5" borderId="1" applyAlignment="1" pivotButton="0" quotePrefix="0" xfId="0">
      <alignment horizontal="right" vertical="center"/>
    </xf>
    <xf numFmtId="0" fontId="2" fillId="7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right" vertical="center"/>
    </xf>
    <xf numFmtId="0" fontId="4" fillId="6" borderId="2" applyAlignment="1" pivotButton="0" quotePrefix="0" xfId="0">
      <alignment horizontal="right" vertical="center"/>
    </xf>
    <xf numFmtId="0" fontId="6" fillId="7" borderId="2" applyAlignment="1" pivotButton="0" quotePrefix="0" xfId="0">
      <alignment horizontal="left" vertical="center" wrapText="1"/>
    </xf>
    <xf numFmtId="164" fontId="0" fillId="7" borderId="2" applyAlignment="1" pivotButton="0" quotePrefix="0" xfId="0">
      <alignment horizontal="right" vertical="center"/>
    </xf>
    <xf numFmtId="0" fontId="0" fillId="7" borderId="2" applyAlignment="1" pivotButton="0" quotePrefix="0" xfId="0">
      <alignment horizontal="right" vertical="center"/>
    </xf>
    <xf numFmtId="0" fontId="2" fillId="7" borderId="0" pivotButton="0" quotePrefix="0" xfId="0"/>
    <xf numFmtId="0" fontId="5" fillId="0" borderId="0" pivotButton="0" quotePrefix="0" xfId="0"/>
    <xf numFmtId="1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dxfs count="2">
    <dxf>
      <fill>
        <patternFill patternType="solid">
          <fgColor rgb="00FECACA"/>
        </patternFill>
      </fill>
    </dxf>
    <dxf>
      <fill>
        <patternFill patternType="solid">
          <fgColor rgb="00BBF7D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Distribusi Pengeluaran</a:t>
            </a:r>
          </a:p>
        </rich>
      </tx>
    </title>
    <plotArea>
      <pieChart>
        <varyColors val="1"/>
        <ser>
          <idx val="0"/>
          <order val="0"/>
          <tx>
            <strRef>
              <f>'Kategori'!E4</f>
            </strRef>
          </tx>
          <spPr>
            <a:ln>
              <a:prstDash val="solid"/>
            </a:ln>
          </spPr>
          <cat>
            <numRef>
              <f>'Kategori'!$B$5:$B$10</f>
            </numRef>
          </cat>
          <val>
            <numRef>
              <f>'Kategori'!$E$5:$E$10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9"/>
  <sheetViews>
    <sheetView showGridLines="0" workbookViewId="0">
      <selection activeCell="A1" sqref="A1"/>
    </sheetView>
  </sheetViews>
  <sheetFormatPr baseColWidth="8" defaultRowHeight="15"/>
  <sheetData>
    <row r="2">
      <c r="B2" s="1" t="inlineStr">
        <is>
          <t>FINANCE TRACKER — EXPORT</t>
        </is>
      </c>
    </row>
    <row r="3"/>
    <row r="4">
      <c r="B4" s="2" t="inlineStr">
        <is>
          <t>Export: 30 August 2026 05:10 UTC</t>
        </is>
      </c>
    </row>
    <row r="7">
      <c r="B7" s="3" t="inlineStr">
        <is>
          <t>💰 PEMASUKAN</t>
        </is>
      </c>
      <c r="C7" s="3" t="inlineStr">
        <is>
          <t>💸 PENGELUARAN</t>
        </is>
      </c>
      <c r="D7" s="3" t="inlineStr">
        <is>
          <t>📊 LABA BERSIH</t>
        </is>
      </c>
      <c r="E7" s="3" t="inlineStr">
        <is>
          <t>💵 SALDO KAS</t>
        </is>
      </c>
    </row>
    <row r="8">
      <c r="B8" s="4" t="n">
        <v>147422764</v>
      </c>
      <c r="C8" s="4" t="n">
        <v>114358520</v>
      </c>
      <c r="D8" s="4" t="n">
        <v>33064244</v>
      </c>
      <c r="E8" s="4" t="n">
        <v>38740921</v>
      </c>
    </row>
    <row r="9">
      <c r="B9" s="5" t="inlineStr">
        <is>
          <t>Margin:</t>
        </is>
      </c>
      <c r="C9" s="6" t="n">
        <v>0.2242818076589583</v>
      </c>
      <c r="D9" s="7" t="n"/>
      <c r="E9" s="7" t="n"/>
    </row>
  </sheetData>
  <mergeCells count="3">
    <mergeCell ref="C9:E9"/>
    <mergeCell ref="B4:H4"/>
    <mergeCell ref="B2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19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36" customWidth="1" min="4" max="4"/>
    <col width="12" customWidth="1" min="5" max="5"/>
    <col width="14" customWidth="1" min="6" max="6"/>
    <col width="16" customWidth="1" min="7" max="7"/>
    <col width="16" customWidth="1" min="8" max="8"/>
  </cols>
  <sheetData>
    <row r="2">
      <c r="B2" s="1" t="inlineStr">
        <is>
          <t>JURNAL UMUM — DOUBLE ENTRY</t>
        </is>
      </c>
    </row>
    <row r="4">
      <c r="B4" s="3" t="inlineStr">
        <is>
          <t>Tanggal</t>
        </is>
      </c>
      <c r="C4" s="3" t="inlineStr">
        <is>
          <t>No. Jurnal</t>
        </is>
      </c>
      <c r="D4" s="3" t="inlineStr">
        <is>
          <t>Keterangan</t>
        </is>
      </c>
      <c r="E4" s="3" t="inlineStr">
        <is>
          <t>Kode Akun</t>
        </is>
      </c>
      <c r="F4" s="3" t="inlineStr">
        <is>
          <t>Kategori</t>
        </is>
      </c>
      <c r="G4" s="3" t="inlineStr">
        <is>
          <t>Debit</t>
        </is>
      </c>
      <c r="H4" s="3" t="inlineStr">
        <is>
          <t>Kredit</t>
        </is>
      </c>
    </row>
    <row r="5">
      <c r="B5" s="8" t="n">
        <v>45901.375</v>
      </c>
      <c r="C5" s="9" t="inlineStr">
        <is>
          <t>JV-0001</t>
        </is>
      </c>
      <c r="D5" s="9" t="inlineStr">
        <is>
          <t>Setoran modal awal pemilik</t>
        </is>
      </c>
      <c r="E5" s="9" t="inlineStr">
        <is>
          <t>1000/3000</t>
        </is>
      </c>
      <c r="F5" s="9" t="inlineStr"/>
      <c r="G5" s="10" t="n">
        <v>50000000</v>
      </c>
      <c r="H5" s="10" t="n">
        <v>50000000</v>
      </c>
    </row>
    <row r="6">
      <c r="B6" s="11" t="n">
        <v>45901.375</v>
      </c>
      <c r="C6" s="12" t="inlineStr">
        <is>
          <t>JV-0001</t>
        </is>
      </c>
      <c r="D6" s="12" t="inlineStr">
        <is>
          <t>Bayar sewa kantor</t>
        </is>
      </c>
      <c r="E6" s="12" t="inlineStr">
        <is>
          <t>5100/1000</t>
        </is>
      </c>
      <c r="F6" s="12" t="inlineStr">
        <is>
          <t>utilitas</t>
        </is>
      </c>
      <c r="G6" s="13" t="n">
        <v>2500000</v>
      </c>
      <c r="H6" s="13" t="n">
        <v>2500000</v>
      </c>
    </row>
    <row r="7">
      <c r="B7" s="8" t="n">
        <v>45903.75</v>
      </c>
      <c r="C7" s="9" t="inlineStr">
        <is>
          <t>JV-0002</t>
        </is>
      </c>
      <c r="D7" s="9" t="inlineStr">
        <is>
          <t>Ojol ke klien</t>
        </is>
      </c>
      <c r="E7" s="9" t="inlineStr">
        <is>
          <t>5400/1000</t>
        </is>
      </c>
      <c r="F7" s="9" t="inlineStr">
        <is>
          <t>transport</t>
        </is>
      </c>
      <c r="G7" s="10" t="n">
        <v>174714</v>
      </c>
      <c r="H7" s="10" t="n">
        <v>174714</v>
      </c>
    </row>
    <row r="8">
      <c r="B8" s="11" t="n">
        <v>45904.55138888889</v>
      </c>
      <c r="C8" s="12" t="inlineStr">
        <is>
          <t>JV-0003</t>
        </is>
      </c>
      <c r="D8" s="12" t="inlineStr">
        <is>
          <t>Penjualan ke reseller Jakarta #1</t>
        </is>
      </c>
      <c r="E8" s="12" t="inlineStr">
        <is>
          <t>1000/4000</t>
        </is>
      </c>
      <c r="F8" s="12" t="inlineStr">
        <is>
          <t>income</t>
        </is>
      </c>
      <c r="G8" s="13" t="n">
        <v>1001009</v>
      </c>
      <c r="H8" s="13" t="n">
        <v>1001009</v>
      </c>
    </row>
    <row r="9">
      <c r="B9" s="8" t="n">
        <v>45905.41666666666</v>
      </c>
      <c r="C9" s="9" t="inlineStr">
        <is>
          <t>JV-0004</t>
        </is>
      </c>
      <c r="D9" s="9" t="inlineStr">
        <is>
          <t>Bayar gaji karyawan</t>
        </is>
      </c>
      <c r="E9" s="9" t="inlineStr">
        <is>
          <t>5000/1000</t>
        </is>
      </c>
      <c r="F9" s="9" t="inlineStr">
        <is>
          <t>gaji</t>
        </is>
      </c>
      <c r="G9" s="10" t="n">
        <v>5000000</v>
      </c>
      <c r="H9" s="10" t="n">
        <v>5000000</v>
      </c>
    </row>
    <row r="10">
      <c r="B10" s="11" t="n">
        <v>45905.48402777778</v>
      </c>
      <c r="C10" s="12" t="inlineStr">
        <is>
          <t>JV-0005</t>
        </is>
      </c>
      <c r="D10" s="12" t="inlineStr">
        <is>
          <t>Penjualan grosir #2</t>
        </is>
      </c>
      <c r="E10" s="12" t="inlineStr">
        <is>
          <t>1000/4000</t>
        </is>
      </c>
      <c r="F10" s="12" t="inlineStr">
        <is>
          <t>income</t>
        </is>
      </c>
      <c r="G10" s="13" t="n">
        <v>1598635</v>
      </c>
      <c r="H10" s="13" t="n">
        <v>1598635</v>
      </c>
    </row>
    <row r="11">
      <c r="B11" s="8" t="n">
        <v>45908.41666666666</v>
      </c>
      <c r="C11" s="9" t="inlineStr">
        <is>
          <t>JV-0006</t>
        </is>
      </c>
      <c r="D11" s="9" t="inlineStr">
        <is>
          <t>Map &amp; ordner</t>
        </is>
      </c>
      <c r="E11" s="9" t="inlineStr">
        <is>
          <t>5300/1000</t>
        </is>
      </c>
      <c r="F11" s="9" t="inlineStr">
        <is>
          <t>operasional</t>
        </is>
      </c>
      <c r="G11" s="10" t="n">
        <v>74312</v>
      </c>
      <c r="H11" s="10" t="n">
        <v>74312</v>
      </c>
    </row>
    <row r="12">
      <c r="B12" s="11" t="n">
        <v>45908.5</v>
      </c>
      <c r="C12" s="12" t="inlineStr">
        <is>
          <t>JV-0007</t>
        </is>
      </c>
      <c r="D12" s="12" t="inlineStr">
        <is>
          <t>Iklan Instagram</t>
        </is>
      </c>
      <c r="E12" s="12" t="inlineStr">
        <is>
          <t>5500/1000</t>
        </is>
      </c>
      <c r="F12" s="12" t="inlineStr">
        <is>
          <t>pemasaran</t>
        </is>
      </c>
      <c r="G12" s="13" t="n">
        <v>403445</v>
      </c>
      <c r="H12" s="13" t="n">
        <v>403445</v>
      </c>
    </row>
    <row r="13">
      <c r="B13" s="8" t="n">
        <v>45910.45833333334</v>
      </c>
      <c r="C13" s="9" t="inlineStr">
        <is>
          <t>JV-0008</t>
        </is>
      </c>
      <c r="D13" s="9" t="inlineStr">
        <is>
          <t>Bayar listrik &amp; WiFi</t>
        </is>
      </c>
      <c r="E13" s="9" t="inlineStr">
        <is>
          <t>5200/1000</t>
        </is>
      </c>
      <c r="F13" s="9" t="inlineStr">
        <is>
          <t>utilitas</t>
        </is>
      </c>
      <c r="G13" s="10" t="n">
        <v>560785</v>
      </c>
      <c r="H13" s="10" t="n">
        <v>560785</v>
      </c>
    </row>
    <row r="14">
      <c r="B14" s="11" t="n">
        <v>45913.58333333334</v>
      </c>
      <c r="C14" s="12" t="inlineStr">
        <is>
          <t>JV-0009</t>
        </is>
      </c>
      <c r="D14" s="12" t="inlineStr">
        <is>
          <t>Tinta printer</t>
        </is>
      </c>
      <c r="E14" s="12" t="inlineStr">
        <is>
          <t>5300/1000</t>
        </is>
      </c>
      <c r="F14" s="12" t="inlineStr">
        <is>
          <t>operasional</t>
        </is>
      </c>
      <c r="G14" s="13" t="n">
        <v>90758</v>
      </c>
      <c r="H14" s="13" t="n">
        <v>90758</v>
      </c>
    </row>
    <row r="15">
      <c r="B15" s="8" t="n">
        <v>45914.55138888889</v>
      </c>
      <c r="C15" s="9" t="inlineStr">
        <is>
          <t>JV-0010</t>
        </is>
      </c>
      <c r="D15" s="9" t="inlineStr">
        <is>
          <t>Penjualan online Tokopedia #3</t>
        </is>
      </c>
      <c r="E15" s="9" t="inlineStr">
        <is>
          <t>1000/4000</t>
        </is>
      </c>
      <c r="F15" s="9" t="inlineStr">
        <is>
          <t>income</t>
        </is>
      </c>
      <c r="G15" s="10" t="n">
        <v>1006697</v>
      </c>
      <c r="H15" s="10" t="n">
        <v>1006697</v>
      </c>
    </row>
    <row r="16">
      <c r="B16" s="11" t="n">
        <v>45917.57291666666</v>
      </c>
      <c r="C16" s="12" t="inlineStr">
        <is>
          <t>JV-0011</t>
        </is>
      </c>
      <c r="D16" s="12" t="inlineStr">
        <is>
          <t>Penjualan grosir #4</t>
        </is>
      </c>
      <c r="E16" s="12" t="inlineStr">
        <is>
          <t>1000/4000</t>
        </is>
      </c>
      <c r="F16" s="12" t="inlineStr">
        <is>
          <t>income</t>
        </is>
      </c>
      <c r="G16" s="13" t="n">
        <v>1485695</v>
      </c>
      <c r="H16" s="13" t="n">
        <v>1485695</v>
      </c>
    </row>
    <row r="17">
      <c r="B17" s="8" t="n">
        <v>45921.56111111111</v>
      </c>
      <c r="C17" s="9" t="inlineStr">
        <is>
          <t>JV-0012</t>
        </is>
      </c>
      <c r="D17" s="9" t="inlineStr">
        <is>
          <t>Penjualan ke toko offline #5</t>
        </is>
      </c>
      <c r="E17" s="9" t="inlineStr">
        <is>
          <t>1000/4000</t>
        </is>
      </c>
      <c r="F17" s="9" t="inlineStr">
        <is>
          <t>income</t>
        </is>
      </c>
      <c r="G17" s="10" t="n">
        <v>1569112</v>
      </c>
      <c r="H17" s="10" t="n">
        <v>1569112</v>
      </c>
    </row>
    <row r="18">
      <c r="B18" s="11" t="n">
        <v>45923.79166666666</v>
      </c>
      <c r="C18" s="12" t="inlineStr">
        <is>
          <t>JV-0013</t>
        </is>
      </c>
      <c r="D18" s="12" t="inlineStr">
        <is>
          <t>Iklan Instagram</t>
        </is>
      </c>
      <c r="E18" s="12" t="inlineStr">
        <is>
          <t>5500/1000</t>
        </is>
      </c>
      <c r="F18" s="12" t="inlineStr">
        <is>
          <t>pemasaran</t>
        </is>
      </c>
      <c r="G18" s="13" t="n">
        <v>172933</v>
      </c>
      <c r="H18" s="13" t="n">
        <v>172933</v>
      </c>
    </row>
    <row r="19">
      <c r="B19" s="8" t="n">
        <v>45924.58333333334</v>
      </c>
      <c r="C19" s="9" t="inlineStr">
        <is>
          <t>JV-0014</t>
        </is>
      </c>
      <c r="D19" s="9" t="inlineStr">
        <is>
          <t>Bensin motor ke bank</t>
        </is>
      </c>
      <c r="E19" s="9" t="inlineStr">
        <is>
          <t>5400/1000</t>
        </is>
      </c>
      <c r="F19" s="9" t="inlineStr">
        <is>
          <t>transport</t>
        </is>
      </c>
      <c r="G19" s="10" t="n">
        <v>150435</v>
      </c>
      <c r="H19" s="10" t="n">
        <v>150435</v>
      </c>
    </row>
    <row r="20">
      <c r="B20" s="11" t="n">
        <v>45926.61388888889</v>
      </c>
      <c r="C20" s="12" t="inlineStr">
        <is>
          <t>JV-0015</t>
        </is>
      </c>
      <c r="D20" s="12" t="inlineStr">
        <is>
          <t>Jasa instalasi software</t>
        </is>
      </c>
      <c r="E20" s="12" t="inlineStr">
        <is>
          <t>1000/4100</t>
        </is>
      </c>
      <c r="F20" s="12" t="inlineStr">
        <is>
          <t>income</t>
        </is>
      </c>
      <c r="G20" s="13" t="n">
        <v>3925530</v>
      </c>
      <c r="H20" s="13" t="n">
        <v>3925530</v>
      </c>
    </row>
    <row r="21">
      <c r="B21" s="8" t="n">
        <v>45928.33333333334</v>
      </c>
      <c r="C21" s="9" t="inlineStr">
        <is>
          <t>JV-0016</t>
        </is>
      </c>
      <c r="D21" s="9" t="inlineStr">
        <is>
          <t>Ojol ke klien</t>
        </is>
      </c>
      <c r="E21" s="9" t="inlineStr">
        <is>
          <t>5400/1000</t>
        </is>
      </c>
      <c r="F21" s="9" t="inlineStr">
        <is>
          <t>transport</t>
        </is>
      </c>
      <c r="G21" s="10" t="n">
        <v>120165</v>
      </c>
      <c r="H21" s="10" t="n">
        <v>120165</v>
      </c>
    </row>
    <row r="22">
      <c r="B22" s="11" t="n">
        <v>45928.5</v>
      </c>
      <c r="C22" s="12" t="inlineStr">
        <is>
          <t>JV-0017</t>
        </is>
      </c>
      <c r="D22" s="12" t="inlineStr">
        <is>
          <t>Banner offline</t>
        </is>
      </c>
      <c r="E22" s="12" t="inlineStr">
        <is>
          <t>5500/1000</t>
        </is>
      </c>
      <c r="F22" s="12" t="inlineStr">
        <is>
          <t>pemasaran</t>
        </is>
      </c>
      <c r="G22" s="13" t="n">
        <v>479201</v>
      </c>
      <c r="H22" s="13" t="n">
        <v>479201</v>
      </c>
    </row>
    <row r="23">
      <c r="B23" s="8" t="n">
        <v>45931.375</v>
      </c>
      <c r="C23" s="9" t="inlineStr">
        <is>
          <t>JV-0018</t>
        </is>
      </c>
      <c r="D23" s="9" t="inlineStr">
        <is>
          <t>Bayar sewa kantor</t>
        </is>
      </c>
      <c r="E23" s="9" t="inlineStr">
        <is>
          <t>5100/1000</t>
        </is>
      </c>
      <c r="F23" s="9" t="inlineStr">
        <is>
          <t>utilitas</t>
        </is>
      </c>
      <c r="G23" s="10" t="n">
        <v>2500000</v>
      </c>
      <c r="H23" s="10" t="n">
        <v>2500000</v>
      </c>
    </row>
    <row r="24">
      <c r="B24" s="11" t="n">
        <v>45931.375</v>
      </c>
      <c r="C24" s="12" t="inlineStr">
        <is>
          <t>JV-0019</t>
        </is>
      </c>
      <c r="D24" s="12" t="inlineStr">
        <is>
          <t>Bayar sewa kantor</t>
        </is>
      </c>
      <c r="E24" s="12" t="inlineStr">
        <is>
          <t>5100/1000</t>
        </is>
      </c>
      <c r="F24" s="12" t="inlineStr">
        <is>
          <t>utilitas</t>
        </is>
      </c>
      <c r="G24" s="13" t="n">
        <v>2500000</v>
      </c>
      <c r="H24" s="13" t="n">
        <v>2500000</v>
      </c>
    </row>
    <row r="25">
      <c r="B25" s="8" t="n">
        <v>45931.61319444444</v>
      </c>
      <c r="C25" s="9" t="inlineStr">
        <is>
          <t>JV-0020</t>
        </is>
      </c>
      <c r="D25" s="9" t="inlineStr">
        <is>
          <t>Jasa desain logo klien</t>
        </is>
      </c>
      <c r="E25" s="9" t="inlineStr">
        <is>
          <t>1000/4100</t>
        </is>
      </c>
      <c r="F25" s="9" t="inlineStr">
        <is>
          <t>income</t>
        </is>
      </c>
      <c r="G25" s="10" t="n">
        <v>3881454</v>
      </c>
      <c r="H25" s="10" t="n">
        <v>3881454</v>
      </c>
    </row>
    <row r="26">
      <c r="B26" s="11" t="n">
        <v>45933.45833333334</v>
      </c>
      <c r="C26" s="12" t="inlineStr">
        <is>
          <t>JV-0021</t>
        </is>
      </c>
      <c r="D26" s="12" t="inlineStr">
        <is>
          <t>Ojol ke klien</t>
        </is>
      </c>
      <c r="E26" s="12" t="inlineStr">
        <is>
          <t>5400/1000</t>
        </is>
      </c>
      <c r="F26" s="12" t="inlineStr">
        <is>
          <t>transport</t>
        </is>
      </c>
      <c r="G26" s="13" t="n">
        <v>85307</v>
      </c>
      <c r="H26" s="13" t="n">
        <v>85307</v>
      </c>
    </row>
    <row r="27">
      <c r="B27" s="8" t="n">
        <v>45933.52777777778</v>
      </c>
      <c r="C27" s="9" t="inlineStr">
        <is>
          <t>JV-0022</t>
        </is>
      </c>
      <c r="D27" s="9" t="inlineStr">
        <is>
          <t>Penjualan online Tokopedia #3</t>
        </is>
      </c>
      <c r="E27" s="9" t="inlineStr">
        <is>
          <t>1000/4000</t>
        </is>
      </c>
      <c r="F27" s="9" t="inlineStr">
        <is>
          <t>income</t>
        </is>
      </c>
      <c r="G27" s="10" t="n">
        <v>1776342</v>
      </c>
      <c r="H27" s="10" t="n">
        <v>1776342</v>
      </c>
    </row>
    <row r="28">
      <c r="B28" s="11" t="n">
        <v>45934.75</v>
      </c>
      <c r="C28" s="12" t="inlineStr">
        <is>
          <t>JV-0023</t>
        </is>
      </c>
      <c r="D28" s="12" t="inlineStr">
        <is>
          <t>Ojol ke klien</t>
        </is>
      </c>
      <c r="E28" s="12" t="inlineStr">
        <is>
          <t>5400/1000</t>
        </is>
      </c>
      <c r="F28" s="12" t="inlineStr">
        <is>
          <t>transport</t>
        </is>
      </c>
      <c r="G28" s="13" t="n">
        <v>193918</v>
      </c>
      <c r="H28" s="13" t="n">
        <v>193918</v>
      </c>
    </row>
    <row r="29">
      <c r="B29" s="8" t="n">
        <v>45935.41666666666</v>
      </c>
      <c r="C29" s="9" t="inlineStr">
        <is>
          <t>JV-0024</t>
        </is>
      </c>
      <c r="D29" s="9" t="inlineStr">
        <is>
          <t>Bayar gaji karyawan</t>
        </is>
      </c>
      <c r="E29" s="9" t="inlineStr">
        <is>
          <t>5000/1000</t>
        </is>
      </c>
      <c r="F29" s="9" t="inlineStr">
        <is>
          <t>gaji</t>
        </is>
      </c>
      <c r="G29" s="10" t="n">
        <v>5000000</v>
      </c>
      <c r="H29" s="10" t="n">
        <v>5000000</v>
      </c>
    </row>
    <row r="30">
      <c r="B30" s="11" t="n">
        <v>45935.41666666666</v>
      </c>
      <c r="C30" s="12" t="inlineStr">
        <is>
          <t>JV-0025</t>
        </is>
      </c>
      <c r="D30" s="12" t="inlineStr">
        <is>
          <t>Bayar gaji karyawan</t>
        </is>
      </c>
      <c r="E30" s="12" t="inlineStr">
        <is>
          <t>5000/1000</t>
        </is>
      </c>
      <c r="F30" s="12" t="inlineStr">
        <is>
          <t>gaji</t>
        </is>
      </c>
      <c r="G30" s="13" t="n">
        <v>5000000</v>
      </c>
      <c r="H30" s="13" t="n">
        <v>5000000</v>
      </c>
    </row>
    <row r="31">
      <c r="B31" s="8" t="n">
        <v>45936.475</v>
      </c>
      <c r="C31" s="9" t="inlineStr">
        <is>
          <t>JV-0026</t>
        </is>
      </c>
      <c r="D31" s="9" t="inlineStr">
        <is>
          <t>Penjualan ke toko offline #4</t>
        </is>
      </c>
      <c r="E31" s="9" t="inlineStr">
        <is>
          <t>1000/4000</t>
        </is>
      </c>
      <c r="F31" s="9" t="inlineStr">
        <is>
          <t>income</t>
        </is>
      </c>
      <c r="G31" s="10" t="n">
        <v>1809881</v>
      </c>
      <c r="H31" s="10" t="n">
        <v>1809881</v>
      </c>
    </row>
    <row r="32">
      <c r="B32" s="11" t="n">
        <v>45938.77152777778</v>
      </c>
      <c r="C32" s="12" t="inlineStr">
        <is>
          <t>JV-0027</t>
        </is>
      </c>
      <c r="D32" s="12" t="inlineStr">
        <is>
          <t>Penjualan online Shopee #2</t>
        </is>
      </c>
      <c r="E32" s="12" t="inlineStr">
        <is>
          <t>1000/4000</t>
        </is>
      </c>
      <c r="F32" s="12" t="inlineStr">
        <is>
          <t>income</t>
        </is>
      </c>
      <c r="G32" s="13" t="n">
        <v>1999529</v>
      </c>
      <c r="H32" s="13" t="n">
        <v>1999529</v>
      </c>
    </row>
    <row r="33">
      <c r="B33" s="8" t="n">
        <v>45940.45833333334</v>
      </c>
      <c r="C33" s="9" t="inlineStr">
        <is>
          <t>JV-0028</t>
        </is>
      </c>
      <c r="D33" s="9" t="inlineStr">
        <is>
          <t>Bayar listrik &amp; WiFi</t>
        </is>
      </c>
      <c r="E33" s="9" t="inlineStr">
        <is>
          <t>5200/1000</t>
        </is>
      </c>
      <c r="F33" s="9" t="inlineStr">
        <is>
          <t>utilitas</t>
        </is>
      </c>
      <c r="G33" s="10" t="n">
        <v>535008</v>
      </c>
      <c r="H33" s="10" t="n">
        <v>535008</v>
      </c>
    </row>
    <row r="34">
      <c r="B34" s="11" t="n">
        <v>45940.45833333334</v>
      </c>
      <c r="C34" s="12" t="inlineStr">
        <is>
          <t>JV-0029</t>
        </is>
      </c>
      <c r="D34" s="12" t="inlineStr">
        <is>
          <t>Bayar listrik &amp; WiFi</t>
        </is>
      </c>
      <c r="E34" s="12" t="inlineStr">
        <is>
          <t>5200/1000</t>
        </is>
      </c>
      <c r="F34" s="12" t="inlineStr">
        <is>
          <t>utilitas</t>
        </is>
      </c>
      <c r="G34" s="13" t="n">
        <v>681941</v>
      </c>
      <c r="H34" s="13" t="n">
        <v>681941</v>
      </c>
    </row>
    <row r="35">
      <c r="B35" s="8" t="n">
        <v>45942.48472222222</v>
      </c>
      <c r="C35" s="9" t="inlineStr">
        <is>
          <t>JV-0030</t>
        </is>
      </c>
      <c r="D35" s="9" t="inlineStr">
        <is>
          <t>Penjualan ke reseller Jakarta #2</t>
        </is>
      </c>
      <c r="E35" s="9" t="inlineStr">
        <is>
          <t>1000/4000</t>
        </is>
      </c>
      <c r="F35" s="9" t="inlineStr">
        <is>
          <t>income</t>
        </is>
      </c>
      <c r="G35" s="10" t="n">
        <v>2022975</v>
      </c>
      <c r="H35" s="10" t="n">
        <v>2022975</v>
      </c>
    </row>
    <row r="36">
      <c r="B36" s="11" t="n">
        <v>45942.54166666666</v>
      </c>
      <c r="C36" s="12" t="inlineStr">
        <is>
          <t>JV-0031</t>
        </is>
      </c>
      <c r="D36" s="12" t="inlineStr">
        <is>
          <t>Beli laptop baru</t>
        </is>
      </c>
      <c r="E36" s="12" t="inlineStr">
        <is>
          <t>1500/1000</t>
        </is>
      </c>
      <c r="F36" s="12" t="inlineStr">
        <is>
          <t>peralatan</t>
        </is>
      </c>
      <c r="G36" s="13" t="n">
        <v>15000000</v>
      </c>
      <c r="H36" s="13" t="n">
        <v>15000000</v>
      </c>
    </row>
    <row r="37">
      <c r="B37" s="8" t="n">
        <v>45942.625</v>
      </c>
      <c r="C37" s="9" t="inlineStr">
        <is>
          <t>JV-0032</t>
        </is>
      </c>
      <c r="D37" s="9" t="inlineStr">
        <is>
          <t>Kertas</t>
        </is>
      </c>
      <c r="E37" s="9" t="inlineStr">
        <is>
          <t>5300/1000</t>
        </is>
      </c>
      <c r="F37" s="9" t="inlineStr">
        <is>
          <t>operasional</t>
        </is>
      </c>
      <c r="G37" s="10" t="n">
        <v>58414</v>
      </c>
      <c r="H37" s="10" t="n">
        <v>58414</v>
      </c>
    </row>
    <row r="38">
      <c r="B38" s="11" t="n">
        <v>45942.70833333334</v>
      </c>
      <c r="C38" s="12" t="inlineStr">
        <is>
          <t>JV-0033</t>
        </is>
      </c>
      <c r="D38" s="12" t="inlineStr">
        <is>
          <t>Bensin motor ke bank</t>
        </is>
      </c>
      <c r="E38" s="12" t="inlineStr">
        <is>
          <t>5400/1000</t>
        </is>
      </c>
      <c r="F38" s="12" t="inlineStr">
        <is>
          <t>transport</t>
        </is>
      </c>
      <c r="G38" s="13" t="n">
        <v>72349</v>
      </c>
      <c r="H38" s="13" t="n">
        <v>72349</v>
      </c>
    </row>
    <row r="39">
      <c r="B39" s="8" t="n">
        <v>45943.51597222222</v>
      </c>
      <c r="C39" s="9" t="inlineStr">
        <is>
          <t>JV-0034</t>
        </is>
      </c>
      <c r="D39" s="9" t="inlineStr">
        <is>
          <t>Penjualan ke reseller Jakarta #1</t>
        </is>
      </c>
      <c r="E39" s="9" t="inlineStr">
        <is>
          <t>1000/4000</t>
        </is>
      </c>
      <c r="F39" s="9" t="inlineStr">
        <is>
          <t>income</t>
        </is>
      </c>
      <c r="G39" s="10" t="n">
        <v>2123621</v>
      </c>
      <c r="H39" s="10" t="n">
        <v>2123621</v>
      </c>
    </row>
    <row r="40">
      <c r="B40" s="11" t="n">
        <v>45943.76111111111</v>
      </c>
      <c r="C40" s="12" t="inlineStr">
        <is>
          <t>JV-0035</t>
        </is>
      </c>
      <c r="D40" s="12" t="inlineStr">
        <is>
          <t>Penjualan ke toko offline #5</t>
        </is>
      </c>
      <c r="E40" s="12" t="inlineStr">
        <is>
          <t>1000/4000</t>
        </is>
      </c>
      <c r="F40" s="12" t="inlineStr">
        <is>
          <t>income</t>
        </is>
      </c>
      <c r="G40" s="13" t="n">
        <v>1628600</v>
      </c>
      <c r="H40" s="13" t="n">
        <v>1628600</v>
      </c>
    </row>
    <row r="41">
      <c r="B41" s="8" t="n">
        <v>45945.41666666666</v>
      </c>
      <c r="C41" s="9" t="inlineStr">
        <is>
          <t>JV-0036</t>
        </is>
      </c>
      <c r="D41" s="9" t="inlineStr">
        <is>
          <t>Ojol ke klien</t>
        </is>
      </c>
      <c r="E41" s="9" t="inlineStr">
        <is>
          <t>5400/1000</t>
        </is>
      </c>
      <c r="F41" s="9" t="inlineStr">
        <is>
          <t>transport</t>
        </is>
      </c>
      <c r="G41" s="10" t="n">
        <v>67452</v>
      </c>
      <c r="H41" s="10" t="n">
        <v>67452</v>
      </c>
    </row>
    <row r="42">
      <c r="B42" s="11" t="n">
        <v>45946.58333333334</v>
      </c>
      <c r="C42" s="12" t="inlineStr">
        <is>
          <t>JV-0037</t>
        </is>
      </c>
      <c r="D42" s="12" t="inlineStr">
        <is>
          <t>Iklan Instagram</t>
        </is>
      </c>
      <c r="E42" s="12" t="inlineStr">
        <is>
          <t>5500/1000</t>
        </is>
      </c>
      <c r="F42" s="12" t="inlineStr">
        <is>
          <t>pemasaran</t>
        </is>
      </c>
      <c r="G42" s="13" t="n">
        <v>120422</v>
      </c>
      <c r="H42" s="13" t="n">
        <v>120422</v>
      </c>
    </row>
    <row r="43">
      <c r="B43" s="8" t="n">
        <v>45947.41666666666</v>
      </c>
      <c r="C43" s="9" t="inlineStr">
        <is>
          <t>JV-0038</t>
        </is>
      </c>
      <c r="D43" s="9" t="inlineStr">
        <is>
          <t>Grab ke supplier</t>
        </is>
      </c>
      <c r="E43" s="9" t="inlineStr">
        <is>
          <t>5400/1000</t>
        </is>
      </c>
      <c r="F43" s="9" t="inlineStr">
        <is>
          <t>transport</t>
        </is>
      </c>
      <c r="G43" s="10" t="n">
        <v>189637</v>
      </c>
      <c r="H43" s="10" t="n">
        <v>189637</v>
      </c>
    </row>
    <row r="44">
      <c r="B44" s="11" t="n">
        <v>45948.375</v>
      </c>
      <c r="C44" s="12" t="inlineStr">
        <is>
          <t>JV-0039</t>
        </is>
      </c>
      <c r="D44" s="12" t="inlineStr">
        <is>
          <t>Map &amp; ordner</t>
        </is>
      </c>
      <c r="E44" s="12" t="inlineStr">
        <is>
          <t>5300/1000</t>
        </is>
      </c>
      <c r="F44" s="12" t="inlineStr">
        <is>
          <t>operasional</t>
        </is>
      </c>
      <c r="G44" s="13" t="n">
        <v>91460</v>
      </c>
      <c r="H44" s="13" t="n">
        <v>91460</v>
      </c>
    </row>
    <row r="45">
      <c r="B45" s="8" t="n">
        <v>45949.68263888889</v>
      </c>
      <c r="C45" s="9" t="inlineStr">
        <is>
          <t>JV-0040</t>
        </is>
      </c>
      <c r="D45" s="9" t="inlineStr">
        <is>
          <t>Penjualan grosir #1</t>
        </is>
      </c>
      <c r="E45" s="9" t="inlineStr">
        <is>
          <t>1000/4000</t>
        </is>
      </c>
      <c r="F45" s="9" t="inlineStr">
        <is>
          <t>income</t>
        </is>
      </c>
      <c r="G45" s="10" t="n">
        <v>1473872</v>
      </c>
      <c r="H45" s="10" t="n">
        <v>1473872</v>
      </c>
    </row>
    <row r="46">
      <c r="B46" s="11" t="n">
        <v>45951.52013888889</v>
      </c>
      <c r="C46" s="12" t="inlineStr">
        <is>
          <t>JV-0041</t>
        </is>
      </c>
      <c r="D46" s="12" t="inlineStr">
        <is>
          <t>Penjualan online Shopee #3</t>
        </is>
      </c>
      <c r="E46" s="12" t="inlineStr">
        <is>
          <t>1000/4000</t>
        </is>
      </c>
      <c r="F46" s="12" t="inlineStr">
        <is>
          <t>income</t>
        </is>
      </c>
      <c r="G46" s="13" t="n">
        <v>1966573</v>
      </c>
      <c r="H46" s="13" t="n">
        <v>1966573</v>
      </c>
    </row>
    <row r="47">
      <c r="B47" s="8" t="n">
        <v>45951.61319444444</v>
      </c>
      <c r="C47" s="9" t="inlineStr">
        <is>
          <t>JV-0042</t>
        </is>
      </c>
      <c r="D47" s="9" t="inlineStr">
        <is>
          <t>Jasa instalasi software</t>
        </is>
      </c>
      <c r="E47" s="9" t="inlineStr">
        <is>
          <t>1000/4100</t>
        </is>
      </c>
      <c r="F47" s="9" t="inlineStr">
        <is>
          <t>income</t>
        </is>
      </c>
      <c r="G47" s="10" t="n">
        <v>3722397</v>
      </c>
      <c r="H47" s="10" t="n">
        <v>3722397</v>
      </c>
    </row>
    <row r="48">
      <c r="B48" s="11" t="n">
        <v>45951.625</v>
      </c>
      <c r="C48" s="12" t="inlineStr">
        <is>
          <t>JV-0043</t>
        </is>
      </c>
      <c r="D48" s="12" t="inlineStr">
        <is>
          <t>Pengambilan dividen pemilik</t>
        </is>
      </c>
      <c r="E48" s="12" t="inlineStr">
        <is>
          <t>3000/1000</t>
        </is>
      </c>
      <c r="F48" s="12" t="inlineStr"/>
      <c r="G48" s="13" t="n">
        <v>1500000</v>
      </c>
      <c r="H48" s="13" t="n">
        <v>1500000</v>
      </c>
    </row>
    <row r="49">
      <c r="B49" s="8" t="n">
        <v>45951.75</v>
      </c>
      <c r="C49" s="9" t="inlineStr">
        <is>
          <t>JV-0044</t>
        </is>
      </c>
      <c r="D49" s="9" t="inlineStr">
        <is>
          <t>Parkir &amp; tol</t>
        </is>
      </c>
      <c r="E49" s="9" t="inlineStr">
        <is>
          <t>5400/1000</t>
        </is>
      </c>
      <c r="F49" s="9" t="inlineStr">
        <is>
          <t>transport</t>
        </is>
      </c>
      <c r="G49" s="10" t="n">
        <v>160870</v>
      </c>
      <c r="H49" s="10" t="n">
        <v>160870</v>
      </c>
    </row>
    <row r="50">
      <c r="B50" s="11" t="n">
        <v>45954.54166666666</v>
      </c>
      <c r="C50" s="12" t="inlineStr">
        <is>
          <t>JV-0045</t>
        </is>
      </c>
      <c r="D50" s="12" t="inlineStr">
        <is>
          <t>Banner offline</t>
        </is>
      </c>
      <c r="E50" s="12" t="inlineStr">
        <is>
          <t>5500/1000</t>
        </is>
      </c>
      <c r="F50" s="12" t="inlineStr">
        <is>
          <t>pemasaran</t>
        </is>
      </c>
      <c r="G50" s="13" t="n">
        <v>688637</v>
      </c>
      <c r="H50" s="13" t="n">
        <v>688637</v>
      </c>
    </row>
    <row r="51">
      <c r="B51" s="8" t="n">
        <v>45954.66666666666</v>
      </c>
      <c r="C51" s="9" t="inlineStr">
        <is>
          <t>JV-0046</t>
        </is>
      </c>
      <c r="D51" s="9" t="inlineStr">
        <is>
          <t>Grab ke supplier</t>
        </is>
      </c>
      <c r="E51" s="9" t="inlineStr">
        <is>
          <t>5400/1000</t>
        </is>
      </c>
      <c r="F51" s="9" t="inlineStr">
        <is>
          <t>transport</t>
        </is>
      </c>
      <c r="G51" s="10" t="n">
        <v>99045</v>
      </c>
      <c r="H51" s="10" t="n">
        <v>99045</v>
      </c>
    </row>
    <row r="52">
      <c r="B52" s="11" t="n">
        <v>45955.54166666666</v>
      </c>
      <c r="C52" s="12" t="inlineStr">
        <is>
          <t>JV-0047</t>
        </is>
      </c>
      <c r="D52" s="12" t="inlineStr">
        <is>
          <t>Beli ATK</t>
        </is>
      </c>
      <c r="E52" s="12" t="inlineStr">
        <is>
          <t>5300/1000</t>
        </is>
      </c>
      <c r="F52" s="12" t="inlineStr">
        <is>
          <t>operasional</t>
        </is>
      </c>
      <c r="G52" s="13" t="n">
        <v>139174</v>
      </c>
      <c r="H52" s="13" t="n">
        <v>139174</v>
      </c>
    </row>
    <row r="53">
      <c r="B53" s="8" t="n">
        <v>45957.375</v>
      </c>
      <c r="C53" s="9" t="inlineStr">
        <is>
          <t>JV-0048</t>
        </is>
      </c>
      <c r="D53" s="9" t="inlineStr">
        <is>
          <t>Iklan Facebook</t>
        </is>
      </c>
      <c r="E53" s="9" t="inlineStr">
        <is>
          <t>5500/1000</t>
        </is>
      </c>
      <c r="F53" s="9" t="inlineStr">
        <is>
          <t>pemasaran</t>
        </is>
      </c>
      <c r="G53" s="10" t="n">
        <v>422451</v>
      </c>
      <c r="H53" s="10" t="n">
        <v>422451</v>
      </c>
    </row>
    <row r="54">
      <c r="B54" s="11" t="n">
        <v>45962.375</v>
      </c>
      <c r="C54" s="12" t="inlineStr">
        <is>
          <t>JV-0049</t>
        </is>
      </c>
      <c r="D54" s="12" t="inlineStr">
        <is>
          <t>Bayar sewa kantor</t>
        </is>
      </c>
      <c r="E54" s="12" t="inlineStr">
        <is>
          <t>5100/1000</t>
        </is>
      </c>
      <c r="F54" s="12" t="inlineStr">
        <is>
          <t>utilitas</t>
        </is>
      </c>
      <c r="G54" s="13" t="n">
        <v>2500000</v>
      </c>
      <c r="H54" s="13" t="n">
        <v>2500000</v>
      </c>
    </row>
    <row r="55">
      <c r="B55" s="8" t="n">
        <v>45964.375</v>
      </c>
      <c r="C55" s="9" t="inlineStr">
        <is>
          <t>JV-0050</t>
        </is>
      </c>
      <c r="D55" s="9" t="inlineStr">
        <is>
          <t>Ojol ke klien</t>
        </is>
      </c>
      <c r="E55" s="9" t="inlineStr">
        <is>
          <t>5400/1000</t>
        </is>
      </c>
      <c r="F55" s="9" t="inlineStr">
        <is>
          <t>transport</t>
        </is>
      </c>
      <c r="G55" s="10" t="n">
        <v>38234</v>
      </c>
      <c r="H55" s="10" t="n">
        <v>38234</v>
      </c>
    </row>
    <row r="56">
      <c r="B56" s="11" t="n">
        <v>45964.45833333334</v>
      </c>
      <c r="C56" s="12" t="inlineStr">
        <is>
          <t>JV-0051</t>
        </is>
      </c>
      <c r="D56" s="12" t="inlineStr">
        <is>
          <t>Bensin motor ke bank</t>
        </is>
      </c>
      <c r="E56" s="12" t="inlineStr">
        <is>
          <t>5400/1000</t>
        </is>
      </c>
      <c r="F56" s="12" t="inlineStr">
        <is>
          <t>transport</t>
        </is>
      </c>
      <c r="G56" s="13" t="n">
        <v>195439</v>
      </c>
      <c r="H56" s="13" t="n">
        <v>195439</v>
      </c>
    </row>
    <row r="57">
      <c r="B57" s="8" t="n">
        <v>45966.41666666666</v>
      </c>
      <c r="C57" s="9" t="inlineStr">
        <is>
          <t>JV-0052</t>
        </is>
      </c>
      <c r="D57" s="9" t="inlineStr">
        <is>
          <t>Bayar gaji karyawan</t>
        </is>
      </c>
      <c r="E57" s="9" t="inlineStr">
        <is>
          <t>5000/1000</t>
        </is>
      </c>
      <c r="F57" s="9" t="inlineStr">
        <is>
          <t>gaji</t>
        </is>
      </c>
      <c r="G57" s="10" t="n">
        <v>5000000</v>
      </c>
      <c r="H57" s="10" t="n">
        <v>5000000</v>
      </c>
    </row>
    <row r="58">
      <c r="B58" s="11" t="n">
        <v>45969.5</v>
      </c>
      <c r="C58" s="12" t="inlineStr">
        <is>
          <t>JV-0053</t>
        </is>
      </c>
      <c r="D58" s="12" t="inlineStr">
        <is>
          <t>Boost post marketplace</t>
        </is>
      </c>
      <c r="E58" s="12" t="inlineStr">
        <is>
          <t>5500/1000</t>
        </is>
      </c>
      <c r="F58" s="12" t="inlineStr">
        <is>
          <t>pemasaran</t>
        </is>
      </c>
      <c r="G58" s="13" t="n">
        <v>392004</v>
      </c>
      <c r="H58" s="13" t="n">
        <v>392004</v>
      </c>
    </row>
    <row r="59">
      <c r="B59" s="8" t="n">
        <v>45971.45833333334</v>
      </c>
      <c r="C59" s="9" t="inlineStr">
        <is>
          <t>JV-0054</t>
        </is>
      </c>
      <c r="D59" s="9" t="inlineStr">
        <is>
          <t>Bayar listrik &amp; WiFi</t>
        </is>
      </c>
      <c r="E59" s="9" t="inlineStr">
        <is>
          <t>5200/1000</t>
        </is>
      </c>
      <c r="F59" s="9" t="inlineStr">
        <is>
          <t>utilitas</t>
        </is>
      </c>
      <c r="G59" s="10" t="n">
        <v>508903</v>
      </c>
      <c r="H59" s="10" t="n">
        <v>508903</v>
      </c>
    </row>
    <row r="60">
      <c r="B60" s="11" t="n">
        <v>45976.5</v>
      </c>
      <c r="C60" s="12" t="inlineStr">
        <is>
          <t>JV-0055</t>
        </is>
      </c>
      <c r="D60" s="12" t="inlineStr">
        <is>
          <t>Tinta printer</t>
        </is>
      </c>
      <c r="E60" s="12" t="inlineStr">
        <is>
          <t>5300/1000</t>
        </is>
      </c>
      <c r="F60" s="12" t="inlineStr">
        <is>
          <t>operasional</t>
        </is>
      </c>
      <c r="G60" s="13" t="n">
        <v>55514</v>
      </c>
      <c r="H60" s="13" t="n">
        <v>55514</v>
      </c>
    </row>
    <row r="61">
      <c r="B61" s="8" t="n">
        <v>45977.50555555556</v>
      </c>
      <c r="C61" s="9" t="inlineStr">
        <is>
          <t>JV-0056</t>
        </is>
      </c>
      <c r="D61" s="9" t="inlineStr">
        <is>
          <t>Penjualan grosir #1</t>
        </is>
      </c>
      <c r="E61" s="9" t="inlineStr">
        <is>
          <t>1000/4000</t>
        </is>
      </c>
      <c r="F61" s="9" t="inlineStr">
        <is>
          <t>income</t>
        </is>
      </c>
      <c r="G61" s="10" t="n">
        <v>1915278</v>
      </c>
      <c r="H61" s="10" t="n">
        <v>1915278</v>
      </c>
    </row>
    <row r="62">
      <c r="B62" s="11" t="n">
        <v>45977.875</v>
      </c>
      <c r="C62" s="12" t="inlineStr">
        <is>
          <t>JV-0057</t>
        </is>
      </c>
      <c r="D62" s="12" t="inlineStr">
        <is>
          <t>Boost post marketplace</t>
        </is>
      </c>
      <c r="E62" s="12" t="inlineStr">
        <is>
          <t>5500/1000</t>
        </is>
      </c>
      <c r="F62" s="12" t="inlineStr">
        <is>
          <t>pemasaran</t>
        </is>
      </c>
      <c r="G62" s="13" t="n">
        <v>354801</v>
      </c>
      <c r="H62" s="13" t="n">
        <v>354801</v>
      </c>
    </row>
    <row r="63">
      <c r="B63" s="8" t="n">
        <v>45978.58263888889</v>
      </c>
      <c r="C63" s="9" t="inlineStr">
        <is>
          <t>JV-0058</t>
        </is>
      </c>
      <c r="D63" s="9" t="inlineStr">
        <is>
          <t>Penjualan ke toko offline #3</t>
        </is>
      </c>
      <c r="E63" s="9" t="inlineStr">
        <is>
          <t>1000/4000</t>
        </is>
      </c>
      <c r="F63" s="9" t="inlineStr">
        <is>
          <t>income</t>
        </is>
      </c>
      <c r="G63" s="10" t="n">
        <v>1969770</v>
      </c>
      <c r="H63" s="10" t="n">
        <v>1969770</v>
      </c>
    </row>
    <row r="64">
      <c r="B64" s="11" t="n">
        <v>45979.45833333334</v>
      </c>
      <c r="C64" s="12" t="inlineStr">
        <is>
          <t>JV-0059</t>
        </is>
      </c>
      <c r="D64" s="12" t="inlineStr">
        <is>
          <t>Beli stok barang dagangan</t>
        </is>
      </c>
      <c r="E64" s="12" t="inlineStr">
        <is>
          <t>1200/1000</t>
        </is>
      </c>
      <c r="F64" s="12" t="inlineStr"/>
      <c r="G64" s="13" t="n">
        <v>2798637</v>
      </c>
      <c r="H64" s="13" t="n">
        <v>2798637</v>
      </c>
    </row>
    <row r="65">
      <c r="B65" s="8" t="n">
        <v>45979.60069444445</v>
      </c>
      <c r="C65" s="9" t="inlineStr">
        <is>
          <t>JV-0060</t>
        </is>
      </c>
      <c r="D65" s="9" t="inlineStr">
        <is>
          <t>Penjualan online Shopee #4</t>
        </is>
      </c>
      <c r="E65" s="9" t="inlineStr">
        <is>
          <t>1000/4000</t>
        </is>
      </c>
      <c r="F65" s="9" t="inlineStr">
        <is>
          <t>income</t>
        </is>
      </c>
      <c r="G65" s="10" t="n">
        <v>1856586</v>
      </c>
      <c r="H65" s="10" t="n">
        <v>1856586</v>
      </c>
    </row>
    <row r="66">
      <c r="B66" s="11" t="n">
        <v>45979.75</v>
      </c>
      <c r="C66" s="12" t="inlineStr">
        <is>
          <t>JV-0061</t>
        </is>
      </c>
      <c r="D66" s="12" t="inlineStr">
        <is>
          <t>Banner offline</t>
        </is>
      </c>
      <c r="E66" s="12" t="inlineStr">
        <is>
          <t>5500/1000</t>
        </is>
      </c>
      <c r="F66" s="12" t="inlineStr">
        <is>
          <t>pemasaran</t>
        </is>
      </c>
      <c r="G66" s="13" t="n">
        <v>238739</v>
      </c>
      <c r="H66" s="13" t="n">
        <v>238739</v>
      </c>
    </row>
    <row r="67">
      <c r="B67" s="8" t="n">
        <v>45983.51111111111</v>
      </c>
      <c r="C67" s="9" t="inlineStr">
        <is>
          <t>JV-0062</t>
        </is>
      </c>
      <c r="D67" s="9" t="inlineStr">
        <is>
          <t>Penjualan grosir #2</t>
        </is>
      </c>
      <c r="E67" s="9" t="inlineStr">
        <is>
          <t>1000/4000</t>
        </is>
      </c>
      <c r="F67" s="9" t="inlineStr">
        <is>
          <t>income</t>
        </is>
      </c>
      <c r="G67" s="10" t="n">
        <v>1586122</v>
      </c>
      <c r="H67" s="10" t="n">
        <v>1586122</v>
      </c>
    </row>
    <row r="68">
      <c r="B68" s="11" t="n">
        <v>45983.76944444444</v>
      </c>
      <c r="C68" s="12" t="inlineStr">
        <is>
          <t>JV-0063</t>
        </is>
      </c>
      <c r="D68" s="12" t="inlineStr">
        <is>
          <t>Penjualan ke toko offline #5</t>
        </is>
      </c>
      <c r="E68" s="12" t="inlineStr">
        <is>
          <t>1000/4000</t>
        </is>
      </c>
      <c r="F68" s="12" t="inlineStr">
        <is>
          <t>income</t>
        </is>
      </c>
      <c r="G68" s="13" t="n">
        <v>1754782</v>
      </c>
      <c r="H68" s="13" t="n">
        <v>1754782</v>
      </c>
    </row>
    <row r="69">
      <c r="B69" s="8" t="n">
        <v>45992.375</v>
      </c>
      <c r="C69" s="9" t="inlineStr">
        <is>
          <t>JV-0064</t>
        </is>
      </c>
      <c r="D69" s="9" t="inlineStr">
        <is>
          <t>Bayar sewa kantor</t>
        </is>
      </c>
      <c r="E69" s="9" t="inlineStr">
        <is>
          <t>5100/1000</t>
        </is>
      </c>
      <c r="F69" s="9" t="inlineStr">
        <is>
          <t>utilitas</t>
        </is>
      </c>
      <c r="G69" s="10" t="n">
        <v>2500000</v>
      </c>
      <c r="H69" s="10" t="n">
        <v>2500000</v>
      </c>
    </row>
    <row r="70">
      <c r="B70" s="11" t="n">
        <v>45995.375</v>
      </c>
      <c r="C70" s="12" t="inlineStr">
        <is>
          <t>JV-0065</t>
        </is>
      </c>
      <c r="D70" s="12" t="inlineStr">
        <is>
          <t>Bensin motor ke bank</t>
        </is>
      </c>
      <c r="E70" s="12" t="inlineStr">
        <is>
          <t>5400/1000</t>
        </is>
      </c>
      <c r="F70" s="12" t="inlineStr">
        <is>
          <t>transport</t>
        </is>
      </c>
      <c r="G70" s="13" t="n">
        <v>43261</v>
      </c>
      <c r="H70" s="13" t="n">
        <v>43261</v>
      </c>
    </row>
    <row r="71">
      <c r="B71" s="8" t="n">
        <v>45995.68472222222</v>
      </c>
      <c r="C71" s="9" t="inlineStr">
        <is>
          <t>JV-0066</t>
        </is>
      </c>
      <c r="D71" s="9" t="inlineStr">
        <is>
          <t>Penjualan ke reseller Jakarta #1</t>
        </is>
      </c>
      <c r="E71" s="9" t="inlineStr">
        <is>
          <t>1000/4000</t>
        </is>
      </c>
      <c r="F71" s="9" t="inlineStr">
        <is>
          <t>income</t>
        </is>
      </c>
      <c r="G71" s="10" t="n">
        <v>3067091</v>
      </c>
      <c r="H71" s="10" t="n">
        <v>3067091</v>
      </c>
    </row>
    <row r="72">
      <c r="B72" s="11" t="n">
        <v>45996.41666666666</v>
      </c>
      <c r="C72" s="12" t="inlineStr">
        <is>
          <t>JV-0067</t>
        </is>
      </c>
      <c r="D72" s="12" t="inlineStr">
        <is>
          <t>Bayar gaji karyawan</t>
        </is>
      </c>
      <c r="E72" s="12" t="inlineStr">
        <is>
          <t>5000/1000</t>
        </is>
      </c>
      <c r="F72" s="12" t="inlineStr">
        <is>
          <t>gaji</t>
        </is>
      </c>
      <c r="G72" s="13" t="n">
        <v>5000000</v>
      </c>
      <c r="H72" s="13" t="n">
        <v>5000000</v>
      </c>
    </row>
    <row r="73">
      <c r="B73" s="8" t="n">
        <v>45997.66666666666</v>
      </c>
      <c r="C73" s="9" t="inlineStr">
        <is>
          <t>JV-0068</t>
        </is>
      </c>
      <c r="D73" s="9" t="inlineStr">
        <is>
          <t>Boost post marketplace</t>
        </is>
      </c>
      <c r="E73" s="9" t="inlineStr">
        <is>
          <t>5500/1000</t>
        </is>
      </c>
      <c r="F73" s="9" t="inlineStr">
        <is>
          <t>pemasaran</t>
        </is>
      </c>
      <c r="G73" s="10" t="n">
        <v>526156</v>
      </c>
      <c r="H73" s="10" t="n">
        <v>526156</v>
      </c>
    </row>
    <row r="74">
      <c r="B74" s="11" t="n">
        <v>46001.45833333334</v>
      </c>
      <c r="C74" s="12" t="inlineStr">
        <is>
          <t>JV-0069</t>
        </is>
      </c>
      <c r="D74" s="12" t="inlineStr">
        <is>
          <t>Bayar listrik &amp; WiFi</t>
        </is>
      </c>
      <c r="E74" s="12" t="inlineStr">
        <is>
          <t>5200/1000</t>
        </is>
      </c>
      <c r="F74" s="12" t="inlineStr">
        <is>
          <t>utilitas</t>
        </is>
      </c>
      <c r="G74" s="13" t="n">
        <v>567601</v>
      </c>
      <c r="H74" s="13" t="n">
        <v>567601</v>
      </c>
    </row>
    <row r="75">
      <c r="B75" s="8" t="n">
        <v>46004.55</v>
      </c>
      <c r="C75" s="9" t="inlineStr">
        <is>
          <t>JV-0070</t>
        </is>
      </c>
      <c r="D75" s="9" t="inlineStr">
        <is>
          <t>Penjualan online Tokopedia #3</t>
        </is>
      </c>
      <c r="E75" s="9" t="inlineStr">
        <is>
          <t>1000/4000</t>
        </is>
      </c>
      <c r="F75" s="9" t="inlineStr">
        <is>
          <t>income</t>
        </is>
      </c>
      <c r="G75" s="10" t="n">
        <v>3183398</v>
      </c>
      <c r="H75" s="10" t="n">
        <v>3183398</v>
      </c>
    </row>
    <row r="76">
      <c r="B76" s="11" t="n">
        <v>46006.46041666667</v>
      </c>
      <c r="C76" s="12" t="inlineStr">
        <is>
          <t>JV-0071</t>
        </is>
      </c>
      <c r="D76" s="12" t="inlineStr">
        <is>
          <t>Penjualan online Tokopedia #2</t>
        </is>
      </c>
      <c r="E76" s="12" t="inlineStr">
        <is>
          <t>1000/4000</t>
        </is>
      </c>
      <c r="F76" s="12" t="inlineStr">
        <is>
          <t>income</t>
        </is>
      </c>
      <c r="G76" s="13" t="n">
        <v>3411245</v>
      </c>
      <c r="H76" s="13" t="n">
        <v>3411245</v>
      </c>
    </row>
    <row r="77">
      <c r="B77" s="8" t="n">
        <v>46009.66666666666</v>
      </c>
      <c r="C77" s="9" t="inlineStr">
        <is>
          <t>JV-0072</t>
        </is>
      </c>
      <c r="D77" s="9" t="inlineStr">
        <is>
          <t>Kertas</t>
        </is>
      </c>
      <c r="E77" s="9" t="inlineStr">
        <is>
          <t>5300/1000</t>
        </is>
      </c>
      <c r="F77" s="9" t="inlineStr">
        <is>
          <t>operasional</t>
        </is>
      </c>
      <c r="G77" s="10" t="n">
        <v>98100</v>
      </c>
      <c r="H77" s="10" t="n">
        <v>98100</v>
      </c>
    </row>
    <row r="78">
      <c r="B78" s="11" t="n">
        <v>46019.66666666666</v>
      </c>
      <c r="C78" s="12" t="inlineStr">
        <is>
          <t>JV-0073</t>
        </is>
      </c>
      <c r="D78" s="12" t="inlineStr">
        <is>
          <t>Parkir &amp; tol</t>
        </is>
      </c>
      <c r="E78" s="12" t="inlineStr">
        <is>
          <t>5400/1000</t>
        </is>
      </c>
      <c r="F78" s="12" t="inlineStr">
        <is>
          <t>transport</t>
        </is>
      </c>
      <c r="G78" s="13" t="n">
        <v>49761</v>
      </c>
      <c r="H78" s="13" t="n">
        <v>49761</v>
      </c>
    </row>
    <row r="79">
      <c r="B79" s="8" t="n">
        <v>46023.375</v>
      </c>
      <c r="C79" s="9" t="inlineStr">
        <is>
          <t>JV-0074</t>
        </is>
      </c>
      <c r="D79" s="9" t="inlineStr">
        <is>
          <t>Bayar sewa kantor</t>
        </is>
      </c>
      <c r="E79" s="9" t="inlineStr">
        <is>
          <t>5100/1000</t>
        </is>
      </c>
      <c r="F79" s="9" t="inlineStr">
        <is>
          <t>utilitas</t>
        </is>
      </c>
      <c r="G79" s="10" t="n">
        <v>2500000</v>
      </c>
      <c r="H79" s="10" t="n">
        <v>2500000</v>
      </c>
    </row>
    <row r="80">
      <c r="B80" s="11" t="n">
        <v>46024.66666666666</v>
      </c>
      <c r="C80" s="12" t="inlineStr">
        <is>
          <t>JV-0075</t>
        </is>
      </c>
      <c r="D80" s="12" t="inlineStr">
        <is>
          <t>Parkir &amp; tol</t>
        </is>
      </c>
      <c r="E80" s="12" t="inlineStr">
        <is>
          <t>5400/1000</t>
        </is>
      </c>
      <c r="F80" s="12" t="inlineStr">
        <is>
          <t>transport</t>
        </is>
      </c>
      <c r="G80" s="13" t="n">
        <v>183138</v>
      </c>
      <c r="H80" s="13" t="n">
        <v>183138</v>
      </c>
    </row>
    <row r="81">
      <c r="B81" s="8" t="n">
        <v>46025.41666666666</v>
      </c>
      <c r="C81" s="9" t="inlineStr">
        <is>
          <t>JV-0076</t>
        </is>
      </c>
      <c r="D81" s="9" t="inlineStr">
        <is>
          <t>Boost post marketplace</t>
        </is>
      </c>
      <c r="E81" s="9" t="inlineStr">
        <is>
          <t>5500/1000</t>
        </is>
      </c>
      <c r="F81" s="9" t="inlineStr">
        <is>
          <t>pemasaran</t>
        </is>
      </c>
      <c r="G81" s="10" t="n">
        <v>346629</v>
      </c>
      <c r="H81" s="10" t="n">
        <v>346629</v>
      </c>
    </row>
    <row r="82">
      <c r="B82" s="11" t="n">
        <v>46025.75</v>
      </c>
      <c r="C82" s="12" t="inlineStr">
        <is>
          <t>JV-0077</t>
        </is>
      </c>
      <c r="D82" s="12" t="inlineStr">
        <is>
          <t>Iklan Instagram</t>
        </is>
      </c>
      <c r="E82" s="12" t="inlineStr">
        <is>
          <t>5500/1000</t>
        </is>
      </c>
      <c r="F82" s="12" t="inlineStr">
        <is>
          <t>pemasaran</t>
        </is>
      </c>
      <c r="G82" s="13" t="n">
        <v>294851</v>
      </c>
      <c r="H82" s="13" t="n">
        <v>294851</v>
      </c>
    </row>
    <row r="83">
      <c r="B83" s="8" t="n">
        <v>46027.41666666666</v>
      </c>
      <c r="C83" s="9" t="inlineStr">
        <is>
          <t>JV-0078</t>
        </is>
      </c>
      <c r="D83" s="9" t="inlineStr">
        <is>
          <t>Bayar gaji karyawan</t>
        </is>
      </c>
      <c r="E83" s="9" t="inlineStr">
        <is>
          <t>5000/1000</t>
        </is>
      </c>
      <c r="F83" s="9" t="inlineStr">
        <is>
          <t>gaji</t>
        </is>
      </c>
      <c r="G83" s="10" t="n">
        <v>5000000</v>
      </c>
      <c r="H83" s="10" t="n">
        <v>5000000</v>
      </c>
    </row>
    <row r="84">
      <c r="B84" s="11" t="n">
        <v>46032.45833333334</v>
      </c>
      <c r="C84" s="12" t="inlineStr">
        <is>
          <t>JV-0079</t>
        </is>
      </c>
      <c r="D84" s="12" t="inlineStr">
        <is>
          <t>Bayar listrik &amp; WiFi</t>
        </is>
      </c>
      <c r="E84" s="12" t="inlineStr">
        <is>
          <t>5200/1000</t>
        </is>
      </c>
      <c r="F84" s="12" t="inlineStr">
        <is>
          <t>utilitas</t>
        </is>
      </c>
      <c r="G84" s="13" t="n">
        <v>507068</v>
      </c>
      <c r="H84" s="13" t="n">
        <v>507068</v>
      </c>
    </row>
    <row r="85">
      <c r="B85" s="8" t="n">
        <v>46035.60208333333</v>
      </c>
      <c r="C85" s="9" t="inlineStr">
        <is>
          <t>JV-0080</t>
        </is>
      </c>
      <c r="D85" s="9" t="inlineStr">
        <is>
          <t>Penjualan ke toko offline #2</t>
        </is>
      </c>
      <c r="E85" s="9" t="inlineStr">
        <is>
          <t>1000/4000</t>
        </is>
      </c>
      <c r="F85" s="9" t="inlineStr">
        <is>
          <t>income</t>
        </is>
      </c>
      <c r="G85" s="10" t="n">
        <v>2505772</v>
      </c>
      <c r="H85" s="10" t="n">
        <v>2505772</v>
      </c>
    </row>
    <row r="86">
      <c r="B86" s="11" t="n">
        <v>46035.66666666666</v>
      </c>
      <c r="C86" s="12" t="inlineStr">
        <is>
          <t>JV-0081</t>
        </is>
      </c>
      <c r="D86" s="12" t="inlineStr">
        <is>
          <t>Penjualan online Shopee #1</t>
        </is>
      </c>
      <c r="E86" s="12" t="inlineStr">
        <is>
          <t>1000/4000</t>
        </is>
      </c>
      <c r="F86" s="12" t="inlineStr">
        <is>
          <t>income</t>
        </is>
      </c>
      <c r="G86" s="13" t="n">
        <v>3620941</v>
      </c>
      <c r="H86" s="13" t="n">
        <v>3620941</v>
      </c>
    </row>
    <row r="87">
      <c r="B87" s="8" t="n">
        <v>46041.75</v>
      </c>
      <c r="C87" s="9" t="inlineStr">
        <is>
          <t>JV-0082</t>
        </is>
      </c>
      <c r="D87" s="9" t="inlineStr">
        <is>
          <t>Banner offline</t>
        </is>
      </c>
      <c r="E87" s="9" t="inlineStr">
        <is>
          <t>5500/1000</t>
        </is>
      </c>
      <c r="F87" s="9" t="inlineStr">
        <is>
          <t>pemasaran</t>
        </is>
      </c>
      <c r="G87" s="10" t="n">
        <v>358175</v>
      </c>
      <c r="H87" s="10" t="n">
        <v>358175</v>
      </c>
    </row>
    <row r="88">
      <c r="B88" s="11" t="n">
        <v>46042.625</v>
      </c>
      <c r="C88" s="12" t="inlineStr">
        <is>
          <t>JV-0083</t>
        </is>
      </c>
      <c r="D88" s="12" t="inlineStr">
        <is>
          <t>Pengambilan dividen pemilik</t>
        </is>
      </c>
      <c r="E88" s="12" t="inlineStr">
        <is>
          <t>3000/1000</t>
        </is>
      </c>
      <c r="F88" s="12" t="inlineStr"/>
      <c r="G88" s="13" t="n">
        <v>1500000</v>
      </c>
      <c r="H88" s="13" t="n">
        <v>1500000</v>
      </c>
    </row>
    <row r="89">
      <c r="B89" s="8" t="n">
        <v>46045.58333333334</v>
      </c>
      <c r="C89" s="9" t="inlineStr">
        <is>
          <t>JV-0084</t>
        </is>
      </c>
      <c r="D89" s="9" t="inlineStr">
        <is>
          <t>Beli ATK</t>
        </is>
      </c>
      <c r="E89" s="9" t="inlineStr">
        <is>
          <t>5300/1000</t>
        </is>
      </c>
      <c r="F89" s="9" t="inlineStr">
        <is>
          <t>operasional</t>
        </is>
      </c>
      <c r="G89" s="10" t="n">
        <v>242869</v>
      </c>
      <c r="H89" s="10" t="n">
        <v>242869</v>
      </c>
    </row>
    <row r="90">
      <c r="B90" s="11" t="n">
        <v>46045.71458333333</v>
      </c>
      <c r="C90" s="12" t="inlineStr">
        <is>
          <t>JV-0085</t>
        </is>
      </c>
      <c r="D90" s="12" t="inlineStr">
        <is>
          <t>Penjualan grosir #3</t>
        </is>
      </c>
      <c r="E90" s="12" t="inlineStr">
        <is>
          <t>1000/4000</t>
        </is>
      </c>
      <c r="F90" s="12" t="inlineStr">
        <is>
          <t>income</t>
        </is>
      </c>
      <c r="G90" s="13" t="n">
        <v>3716972</v>
      </c>
      <c r="H90" s="13" t="n">
        <v>3716972</v>
      </c>
    </row>
    <row r="91">
      <c r="B91" s="8" t="n">
        <v>46050.33333333334</v>
      </c>
      <c r="C91" s="9" t="inlineStr">
        <is>
          <t>JV-0086</t>
        </is>
      </c>
      <c r="D91" s="9" t="inlineStr">
        <is>
          <t>Grab ke supplier</t>
        </is>
      </c>
      <c r="E91" s="9" t="inlineStr">
        <is>
          <t>5400/1000</t>
        </is>
      </c>
      <c r="F91" s="9" t="inlineStr">
        <is>
          <t>transport</t>
        </is>
      </c>
      <c r="G91" s="10" t="n">
        <v>169231</v>
      </c>
      <c r="H91" s="10" t="n">
        <v>169231</v>
      </c>
    </row>
    <row r="92">
      <c r="B92" s="11" t="n">
        <v>46054.375</v>
      </c>
      <c r="C92" s="12" t="inlineStr">
        <is>
          <t>JV-0087</t>
        </is>
      </c>
      <c r="D92" s="12" t="inlineStr">
        <is>
          <t>Bayar sewa kantor</t>
        </is>
      </c>
      <c r="E92" s="12" t="inlineStr">
        <is>
          <t>5100/1000</t>
        </is>
      </c>
      <c r="F92" s="12" t="inlineStr">
        <is>
          <t>utilitas</t>
        </is>
      </c>
      <c r="G92" s="13" t="n">
        <v>2500000</v>
      </c>
      <c r="H92" s="13" t="n">
        <v>2500000</v>
      </c>
    </row>
    <row r="93">
      <c r="B93" s="8" t="n">
        <v>46056.76388888889</v>
      </c>
      <c r="C93" s="9" t="inlineStr">
        <is>
          <t>JV-0088</t>
        </is>
      </c>
      <c r="D93" s="9" t="inlineStr">
        <is>
          <t>Penjualan grosir #1</t>
        </is>
      </c>
      <c r="E93" s="9" t="inlineStr">
        <is>
          <t>1000/4000</t>
        </is>
      </c>
      <c r="F93" s="9" t="inlineStr">
        <is>
          <t>income</t>
        </is>
      </c>
      <c r="G93" s="10" t="n">
        <v>1731793</v>
      </c>
      <c r="H93" s="10" t="n">
        <v>1731793</v>
      </c>
    </row>
    <row r="94">
      <c r="B94" s="11" t="n">
        <v>46057.375</v>
      </c>
      <c r="C94" s="12" t="inlineStr">
        <is>
          <t>JV-0089</t>
        </is>
      </c>
      <c r="D94" s="12" t="inlineStr">
        <is>
          <t>Ojol ke klien</t>
        </is>
      </c>
      <c r="E94" s="12" t="inlineStr">
        <is>
          <t>5400/1000</t>
        </is>
      </c>
      <c r="F94" s="12" t="inlineStr">
        <is>
          <t>transport</t>
        </is>
      </c>
      <c r="G94" s="13" t="n">
        <v>65203</v>
      </c>
      <c r="H94" s="13" t="n">
        <v>65203</v>
      </c>
    </row>
    <row r="95">
      <c r="B95" s="8" t="n">
        <v>46057.5</v>
      </c>
      <c r="C95" s="9" t="inlineStr">
        <is>
          <t>JV-0090</t>
        </is>
      </c>
      <c r="D95" s="9" t="inlineStr">
        <is>
          <t>Grab ke supplier</t>
        </is>
      </c>
      <c r="E95" s="9" t="inlineStr">
        <is>
          <t>5400/1000</t>
        </is>
      </c>
      <c r="F95" s="9" t="inlineStr">
        <is>
          <t>transport</t>
        </is>
      </c>
      <c r="G95" s="10" t="n">
        <v>175024</v>
      </c>
      <c r="H95" s="10" t="n">
        <v>175024</v>
      </c>
    </row>
    <row r="96">
      <c r="B96" s="11" t="n">
        <v>46058.41666666666</v>
      </c>
      <c r="C96" s="12" t="inlineStr">
        <is>
          <t>JV-0091</t>
        </is>
      </c>
      <c r="D96" s="12" t="inlineStr">
        <is>
          <t>Bayar gaji karyawan</t>
        </is>
      </c>
      <c r="E96" s="12" t="inlineStr">
        <is>
          <t>5000/1000</t>
        </is>
      </c>
      <c r="F96" s="12" t="inlineStr">
        <is>
          <t>gaji</t>
        </is>
      </c>
      <c r="G96" s="13" t="n">
        <v>5000000</v>
      </c>
      <c r="H96" s="13" t="n">
        <v>5000000</v>
      </c>
    </row>
    <row r="97">
      <c r="B97" s="8" t="n">
        <v>46058.62222222222</v>
      </c>
      <c r="C97" s="9" t="inlineStr">
        <is>
          <t>JV-0092</t>
        </is>
      </c>
      <c r="D97" s="9" t="inlineStr">
        <is>
          <t>Jasa desain logo klien</t>
        </is>
      </c>
      <c r="E97" s="9" t="inlineStr">
        <is>
          <t>1000/4100</t>
        </is>
      </c>
      <c r="F97" s="9" t="inlineStr">
        <is>
          <t>income</t>
        </is>
      </c>
      <c r="G97" s="10" t="n">
        <v>5277798</v>
      </c>
      <c r="H97" s="10" t="n">
        <v>5277798</v>
      </c>
    </row>
    <row r="98">
      <c r="B98" s="11" t="n">
        <v>46060.66666666666</v>
      </c>
      <c r="C98" s="12" t="inlineStr">
        <is>
          <t>JV-0093</t>
        </is>
      </c>
      <c r="D98" s="12" t="inlineStr">
        <is>
          <t>Ojol ke klien</t>
        </is>
      </c>
      <c r="E98" s="12" t="inlineStr">
        <is>
          <t>5400/1000</t>
        </is>
      </c>
      <c r="F98" s="12" t="inlineStr">
        <is>
          <t>transport</t>
        </is>
      </c>
      <c r="G98" s="13" t="n">
        <v>196261</v>
      </c>
      <c r="H98" s="13" t="n">
        <v>196261</v>
      </c>
    </row>
    <row r="99">
      <c r="B99" s="8" t="n">
        <v>46062.55277777778</v>
      </c>
      <c r="C99" s="9" t="inlineStr">
        <is>
          <t>JV-0094</t>
        </is>
      </c>
      <c r="D99" s="9" t="inlineStr">
        <is>
          <t>Penjualan ke reseller Jakarta #2</t>
        </is>
      </c>
      <c r="E99" s="9" t="inlineStr">
        <is>
          <t>1000/4000</t>
        </is>
      </c>
      <c r="F99" s="9" t="inlineStr">
        <is>
          <t>income</t>
        </is>
      </c>
      <c r="G99" s="10" t="n">
        <v>1497051</v>
      </c>
      <c r="H99" s="10" t="n">
        <v>1497051</v>
      </c>
    </row>
    <row r="100">
      <c r="B100" s="11" t="n">
        <v>46062.79166666666</v>
      </c>
      <c r="C100" s="12" t="inlineStr">
        <is>
          <t>JV-0095</t>
        </is>
      </c>
      <c r="D100" s="12" t="inlineStr">
        <is>
          <t>Iklan Instagram</t>
        </is>
      </c>
      <c r="E100" s="12" t="inlineStr">
        <is>
          <t>5500/1000</t>
        </is>
      </c>
      <c r="F100" s="12" t="inlineStr">
        <is>
          <t>pemasaran</t>
        </is>
      </c>
      <c r="G100" s="13" t="n">
        <v>153266</v>
      </c>
      <c r="H100" s="13" t="n">
        <v>153266</v>
      </c>
    </row>
    <row r="101">
      <c r="B101" s="8" t="n">
        <v>46063.45833333334</v>
      </c>
      <c r="C101" s="9" t="inlineStr">
        <is>
          <t>JV-0096</t>
        </is>
      </c>
      <c r="D101" s="9" t="inlineStr">
        <is>
          <t>Bayar listrik &amp; WiFi</t>
        </is>
      </c>
      <c r="E101" s="9" t="inlineStr">
        <is>
          <t>5200/1000</t>
        </is>
      </c>
      <c r="F101" s="9" t="inlineStr">
        <is>
          <t>utilitas</t>
        </is>
      </c>
      <c r="G101" s="10" t="n">
        <v>514037</v>
      </c>
      <c r="H101" s="10" t="n">
        <v>514037</v>
      </c>
    </row>
    <row r="102">
      <c r="B102" s="11" t="n">
        <v>46063.54166666666</v>
      </c>
      <c r="C102" s="12" t="inlineStr">
        <is>
          <t>JV-0097</t>
        </is>
      </c>
      <c r="D102" s="12" t="inlineStr">
        <is>
          <t>Grab ke supplier</t>
        </is>
      </c>
      <c r="E102" s="12" t="inlineStr">
        <is>
          <t>5400/1000</t>
        </is>
      </c>
      <c r="F102" s="12" t="inlineStr">
        <is>
          <t>transport</t>
        </is>
      </c>
      <c r="G102" s="13" t="n">
        <v>188552</v>
      </c>
      <c r="H102" s="13" t="n">
        <v>188552</v>
      </c>
    </row>
    <row r="103">
      <c r="B103" s="8" t="n">
        <v>46066.72222222222</v>
      </c>
      <c r="C103" s="9" t="inlineStr">
        <is>
          <t>JV-0098</t>
        </is>
      </c>
      <c r="D103" s="9" t="inlineStr">
        <is>
          <t>Penjualan ke reseller Jakarta #3</t>
        </is>
      </c>
      <c r="E103" s="9" t="inlineStr">
        <is>
          <t>1000/4000</t>
        </is>
      </c>
      <c r="F103" s="9" t="inlineStr">
        <is>
          <t>income</t>
        </is>
      </c>
      <c r="G103" s="10" t="n">
        <v>1416919</v>
      </c>
      <c r="H103" s="10" t="n">
        <v>1416919</v>
      </c>
    </row>
    <row r="104">
      <c r="B104" s="11" t="n">
        <v>46067.375</v>
      </c>
      <c r="C104" s="12" t="inlineStr">
        <is>
          <t>JV-0099</t>
        </is>
      </c>
      <c r="D104" s="12" t="inlineStr">
        <is>
          <t>Iklan Instagram</t>
        </is>
      </c>
      <c r="E104" s="12" t="inlineStr">
        <is>
          <t>5500/1000</t>
        </is>
      </c>
      <c r="F104" s="12" t="inlineStr">
        <is>
          <t>pemasaran</t>
        </is>
      </c>
      <c r="G104" s="13" t="n">
        <v>390120</v>
      </c>
      <c r="H104" s="13" t="n">
        <v>390120</v>
      </c>
    </row>
    <row r="105">
      <c r="B105" s="8" t="n">
        <v>46067.54166666666</v>
      </c>
      <c r="C105" s="9" t="inlineStr">
        <is>
          <t>JV-0100</t>
        </is>
      </c>
      <c r="D105" s="9" t="inlineStr">
        <is>
          <t>Map &amp; ordner</t>
        </is>
      </c>
      <c r="E105" s="9" t="inlineStr">
        <is>
          <t>5300/1000</t>
        </is>
      </c>
      <c r="F105" s="9" t="inlineStr">
        <is>
          <t>operasional</t>
        </is>
      </c>
      <c r="G105" s="10" t="n">
        <v>91352</v>
      </c>
      <c r="H105" s="10" t="n">
        <v>91352</v>
      </c>
    </row>
    <row r="106">
      <c r="B106" s="11" t="n">
        <v>46068.45833333334</v>
      </c>
      <c r="C106" s="12" t="inlineStr">
        <is>
          <t>JV-0101</t>
        </is>
      </c>
      <c r="D106" s="12" t="inlineStr">
        <is>
          <t>Beli stok barang dagangan</t>
        </is>
      </c>
      <c r="E106" s="12" t="inlineStr">
        <is>
          <t>1200/1000</t>
        </is>
      </c>
      <c r="F106" s="12" t="inlineStr"/>
      <c r="G106" s="13" t="n">
        <v>2548697</v>
      </c>
      <c r="H106" s="13" t="n">
        <v>2548697</v>
      </c>
    </row>
    <row r="107">
      <c r="B107" s="8" t="n">
        <v>46072.75902777778</v>
      </c>
      <c r="C107" s="9" t="inlineStr">
        <is>
          <t>JV-0102</t>
        </is>
      </c>
      <c r="D107" s="9" t="inlineStr">
        <is>
          <t>Penjualan online Tokopedia #5</t>
        </is>
      </c>
      <c r="E107" s="9" t="inlineStr">
        <is>
          <t>1000/4000</t>
        </is>
      </c>
      <c r="F107" s="9" t="inlineStr">
        <is>
          <t>income</t>
        </is>
      </c>
      <c r="G107" s="10" t="n">
        <v>2361737</v>
      </c>
      <c r="H107" s="10" t="n">
        <v>2361737</v>
      </c>
    </row>
    <row r="108">
      <c r="B108" s="11" t="n">
        <v>46077.54166666666</v>
      </c>
      <c r="C108" s="12" t="inlineStr">
        <is>
          <t>JV-0103</t>
        </is>
      </c>
      <c r="D108" s="12" t="inlineStr">
        <is>
          <t>Beli ATK</t>
        </is>
      </c>
      <c r="E108" s="12" t="inlineStr">
        <is>
          <t>5300/1000</t>
        </is>
      </c>
      <c r="F108" s="12" t="inlineStr">
        <is>
          <t>operasional</t>
        </is>
      </c>
      <c r="G108" s="13" t="n">
        <v>221435</v>
      </c>
      <c r="H108" s="13" t="n">
        <v>221435</v>
      </c>
    </row>
    <row r="109">
      <c r="B109" s="8" t="n">
        <v>46078.73541666667</v>
      </c>
      <c r="C109" s="9" t="inlineStr">
        <is>
          <t>JV-0104</t>
        </is>
      </c>
      <c r="D109" s="9" t="inlineStr">
        <is>
          <t>Penjualan online Tokopedia #4</t>
        </is>
      </c>
      <c r="E109" s="9" t="inlineStr">
        <is>
          <t>1000/4000</t>
        </is>
      </c>
      <c r="F109" s="9" t="inlineStr">
        <is>
          <t>income</t>
        </is>
      </c>
      <c r="G109" s="10" t="n">
        <v>2295821</v>
      </c>
      <c r="H109" s="10" t="n">
        <v>2295821</v>
      </c>
    </row>
    <row r="110">
      <c r="B110" s="11" t="n">
        <v>46082.375</v>
      </c>
      <c r="C110" s="12" t="inlineStr">
        <is>
          <t>JV-0105</t>
        </is>
      </c>
      <c r="D110" s="12" t="inlineStr">
        <is>
          <t>Bayar sewa kantor</t>
        </is>
      </c>
      <c r="E110" s="12" t="inlineStr">
        <is>
          <t>5100/1000</t>
        </is>
      </c>
      <c r="F110" s="12" t="inlineStr">
        <is>
          <t>utilitas</t>
        </is>
      </c>
      <c r="G110" s="13" t="n">
        <v>2500000</v>
      </c>
      <c r="H110" s="13" t="n">
        <v>2500000</v>
      </c>
    </row>
    <row r="111">
      <c r="B111" s="8" t="n">
        <v>46083.63402777778</v>
      </c>
      <c r="C111" s="9" t="inlineStr">
        <is>
          <t>JV-0106</t>
        </is>
      </c>
      <c r="D111" s="9" t="inlineStr">
        <is>
          <t>Penjualan online Tokopedia #5</t>
        </is>
      </c>
      <c r="E111" s="9" t="inlineStr">
        <is>
          <t>1000/4000</t>
        </is>
      </c>
      <c r="F111" s="9" t="inlineStr">
        <is>
          <t>income</t>
        </is>
      </c>
      <c r="G111" s="10" t="n">
        <v>1672564</v>
      </c>
      <c r="H111" s="10" t="n">
        <v>1672564</v>
      </c>
    </row>
    <row r="112">
      <c r="B112" s="11" t="n">
        <v>46085.66666666666</v>
      </c>
      <c r="C112" s="12" t="inlineStr">
        <is>
          <t>JV-0107</t>
        </is>
      </c>
      <c r="D112" s="12" t="inlineStr">
        <is>
          <t>Iklan Instagram</t>
        </is>
      </c>
      <c r="E112" s="12" t="inlineStr">
        <is>
          <t>5500/1000</t>
        </is>
      </c>
      <c r="F112" s="12" t="inlineStr">
        <is>
          <t>pemasaran</t>
        </is>
      </c>
      <c r="G112" s="13" t="n">
        <v>501124</v>
      </c>
      <c r="H112" s="13" t="n">
        <v>501124</v>
      </c>
    </row>
    <row r="113">
      <c r="B113" s="8" t="n">
        <v>46086.41666666666</v>
      </c>
      <c r="C113" s="9" t="inlineStr">
        <is>
          <t>JV-0108</t>
        </is>
      </c>
      <c r="D113" s="9" t="inlineStr">
        <is>
          <t>Bayar gaji karyawan</t>
        </is>
      </c>
      <c r="E113" s="9" t="inlineStr">
        <is>
          <t>5000/1000</t>
        </is>
      </c>
      <c r="F113" s="9" t="inlineStr">
        <is>
          <t>gaji</t>
        </is>
      </c>
      <c r="G113" s="10" t="n">
        <v>5000000</v>
      </c>
      <c r="H113" s="10" t="n">
        <v>5000000</v>
      </c>
    </row>
    <row r="114">
      <c r="B114" s="11" t="n">
        <v>46089.58333333334</v>
      </c>
      <c r="C114" s="12" t="inlineStr">
        <is>
          <t>JV-0109</t>
        </is>
      </c>
      <c r="D114" s="12" t="inlineStr">
        <is>
          <t>Boost post marketplace</t>
        </is>
      </c>
      <c r="E114" s="12" t="inlineStr">
        <is>
          <t>5500/1000</t>
        </is>
      </c>
      <c r="F114" s="12" t="inlineStr">
        <is>
          <t>pemasaran</t>
        </is>
      </c>
      <c r="G114" s="13" t="n">
        <v>309267</v>
      </c>
      <c r="H114" s="13" t="n">
        <v>309267</v>
      </c>
    </row>
    <row r="115">
      <c r="B115" s="8" t="n">
        <v>46090.78125</v>
      </c>
      <c r="C115" s="9" t="inlineStr">
        <is>
          <t>JV-0110</t>
        </is>
      </c>
      <c r="D115" s="9" t="inlineStr">
        <is>
          <t>Penjualan ke toko offline #1</t>
        </is>
      </c>
      <c r="E115" s="9" t="inlineStr">
        <is>
          <t>1000/4000</t>
        </is>
      </c>
      <c r="F115" s="9" t="inlineStr">
        <is>
          <t>income</t>
        </is>
      </c>
      <c r="G115" s="10" t="n">
        <v>1506233</v>
      </c>
      <c r="H115" s="10" t="n">
        <v>1506233</v>
      </c>
    </row>
    <row r="116">
      <c r="B116" s="11" t="n">
        <v>46091.375</v>
      </c>
      <c r="C116" s="12" t="inlineStr">
        <is>
          <t>JV-0111</t>
        </is>
      </c>
      <c r="D116" s="12" t="inlineStr">
        <is>
          <t>Map &amp; ordner</t>
        </is>
      </c>
      <c r="E116" s="12" t="inlineStr">
        <is>
          <t>5300/1000</t>
        </is>
      </c>
      <c r="F116" s="12" t="inlineStr">
        <is>
          <t>operasional</t>
        </is>
      </c>
      <c r="G116" s="13" t="n">
        <v>96413</v>
      </c>
      <c r="H116" s="13" t="n">
        <v>96413</v>
      </c>
    </row>
    <row r="117">
      <c r="B117" s="8" t="n">
        <v>46091.375</v>
      </c>
      <c r="C117" s="9" t="inlineStr">
        <is>
          <t>JV-0112</t>
        </is>
      </c>
      <c r="D117" s="9" t="inlineStr">
        <is>
          <t>Iklan Facebook</t>
        </is>
      </c>
      <c r="E117" s="9" t="inlineStr">
        <is>
          <t>5500/1000</t>
        </is>
      </c>
      <c r="F117" s="9" t="inlineStr">
        <is>
          <t>pemasaran</t>
        </is>
      </c>
      <c r="G117" s="10" t="n">
        <v>338651</v>
      </c>
      <c r="H117" s="10" t="n">
        <v>338651</v>
      </c>
    </row>
    <row r="118">
      <c r="B118" s="11" t="n">
        <v>46091.45833333334</v>
      </c>
      <c r="C118" s="12" t="inlineStr">
        <is>
          <t>JV-0113</t>
        </is>
      </c>
      <c r="D118" s="12" t="inlineStr">
        <is>
          <t>Bayar listrik &amp; WiFi</t>
        </is>
      </c>
      <c r="E118" s="12" t="inlineStr">
        <is>
          <t>5200/1000</t>
        </is>
      </c>
      <c r="F118" s="12" t="inlineStr">
        <is>
          <t>utilitas</t>
        </is>
      </c>
      <c r="G118" s="13" t="n">
        <v>679300</v>
      </c>
      <c r="H118" s="13" t="n">
        <v>679300</v>
      </c>
    </row>
    <row r="119">
      <c r="B119" s="8" t="n">
        <v>46092.54166666666</v>
      </c>
      <c r="C119" s="9" t="inlineStr">
        <is>
          <t>JV-0114</t>
        </is>
      </c>
      <c r="D119" s="9" t="inlineStr">
        <is>
          <t>Beli printer</t>
        </is>
      </c>
      <c r="E119" s="9" t="inlineStr">
        <is>
          <t>1500/1000</t>
        </is>
      </c>
      <c r="F119" s="9" t="inlineStr">
        <is>
          <t>peralatan</t>
        </is>
      </c>
      <c r="G119" s="10" t="n">
        <v>12000000</v>
      </c>
      <c r="H119" s="10" t="n">
        <v>12000000</v>
      </c>
    </row>
    <row r="120">
      <c r="B120" s="11" t="n">
        <v>46093.67222222222</v>
      </c>
      <c r="C120" s="12" t="inlineStr">
        <is>
          <t>JV-0115</t>
        </is>
      </c>
      <c r="D120" s="12" t="inlineStr">
        <is>
          <t>Penjualan online Shopee #4</t>
        </is>
      </c>
      <c r="E120" s="12" t="inlineStr">
        <is>
          <t>1000/4000</t>
        </is>
      </c>
      <c r="F120" s="12" t="inlineStr">
        <is>
          <t>income</t>
        </is>
      </c>
      <c r="G120" s="13" t="n">
        <v>1983565</v>
      </c>
      <c r="H120" s="13" t="n">
        <v>1983565</v>
      </c>
    </row>
    <row r="121">
      <c r="B121" s="8" t="n">
        <v>46095.49722222222</v>
      </c>
      <c r="C121" s="9" t="inlineStr">
        <is>
          <t>JV-0116</t>
        </is>
      </c>
      <c r="D121" s="9" t="inlineStr">
        <is>
          <t>Penjualan online Tokopedia #2</t>
        </is>
      </c>
      <c r="E121" s="9" t="inlineStr">
        <is>
          <t>1000/4000</t>
        </is>
      </c>
      <c r="F121" s="9" t="inlineStr">
        <is>
          <t>income</t>
        </is>
      </c>
      <c r="G121" s="10" t="n">
        <v>1959068</v>
      </c>
      <c r="H121" s="10" t="n">
        <v>1959068</v>
      </c>
    </row>
    <row r="122">
      <c r="B122" s="11" t="n">
        <v>46103.62222222222</v>
      </c>
      <c r="C122" s="12" t="inlineStr">
        <is>
          <t>JV-0117</t>
        </is>
      </c>
      <c r="D122" s="12" t="inlineStr">
        <is>
          <t>Training klien</t>
        </is>
      </c>
      <c r="E122" s="12" t="inlineStr">
        <is>
          <t>1000/4100</t>
        </is>
      </c>
      <c r="F122" s="12" t="inlineStr">
        <is>
          <t>income</t>
        </is>
      </c>
      <c r="G122" s="13" t="n">
        <v>3126419</v>
      </c>
      <c r="H122" s="13" t="n">
        <v>3126419</v>
      </c>
    </row>
    <row r="123">
      <c r="B123" s="8" t="n">
        <v>46104.45347222222</v>
      </c>
      <c r="C123" s="9" t="inlineStr">
        <is>
          <t>JV-0118</t>
        </is>
      </c>
      <c r="D123" s="9" t="inlineStr">
        <is>
          <t>Penjualan grosir #3</t>
        </is>
      </c>
      <c r="E123" s="9" t="inlineStr">
        <is>
          <t>1000/4000</t>
        </is>
      </c>
      <c r="F123" s="9" t="inlineStr">
        <is>
          <t>income</t>
        </is>
      </c>
      <c r="G123" s="10" t="n">
        <v>2348055</v>
      </c>
      <c r="H123" s="10" t="n">
        <v>2348055</v>
      </c>
    </row>
    <row r="124">
      <c r="B124" s="11" t="n">
        <v>46105.5</v>
      </c>
      <c r="C124" s="12" t="inlineStr">
        <is>
          <t>JV-0119</t>
        </is>
      </c>
      <c r="D124" s="12" t="inlineStr">
        <is>
          <t>Tinta printer</t>
        </is>
      </c>
      <c r="E124" s="12" t="inlineStr">
        <is>
          <t>5300/1000</t>
        </is>
      </c>
      <c r="F124" s="12" t="inlineStr">
        <is>
          <t>operasional</t>
        </is>
      </c>
      <c r="G124" s="13" t="n">
        <v>246471</v>
      </c>
      <c r="H124" s="13" t="n">
        <v>246471</v>
      </c>
    </row>
    <row r="125">
      <c r="B125" s="8" t="n">
        <v>46105.75</v>
      </c>
      <c r="C125" s="9" t="inlineStr">
        <is>
          <t>JV-0120</t>
        </is>
      </c>
      <c r="D125" s="9" t="inlineStr">
        <is>
          <t>Parkir &amp; tol</t>
        </is>
      </c>
      <c r="E125" s="9" t="inlineStr">
        <is>
          <t>5400/1000</t>
        </is>
      </c>
      <c r="F125" s="9" t="inlineStr">
        <is>
          <t>transport</t>
        </is>
      </c>
      <c r="G125" s="10" t="n">
        <v>117080</v>
      </c>
      <c r="H125" s="10" t="n">
        <v>117080</v>
      </c>
    </row>
    <row r="126">
      <c r="B126" s="11" t="n">
        <v>46109.41666666666</v>
      </c>
      <c r="C126" s="12" t="inlineStr">
        <is>
          <t>JV-0121</t>
        </is>
      </c>
      <c r="D126" s="12" t="inlineStr">
        <is>
          <t>Ojol ke klien</t>
        </is>
      </c>
      <c r="E126" s="12" t="inlineStr">
        <is>
          <t>5400/1000</t>
        </is>
      </c>
      <c r="F126" s="12" t="inlineStr">
        <is>
          <t>transport</t>
        </is>
      </c>
      <c r="G126" s="13" t="n">
        <v>95055</v>
      </c>
      <c r="H126" s="13" t="n">
        <v>95055</v>
      </c>
    </row>
    <row r="127">
      <c r="B127" s="8" t="n">
        <v>46113.375</v>
      </c>
      <c r="C127" s="9" t="inlineStr">
        <is>
          <t>JV-0122</t>
        </is>
      </c>
      <c r="D127" s="9" t="inlineStr">
        <is>
          <t>Bayar sewa kantor</t>
        </is>
      </c>
      <c r="E127" s="9" t="inlineStr">
        <is>
          <t>5100/1000</t>
        </is>
      </c>
      <c r="F127" s="9" t="inlineStr">
        <is>
          <t>utilitas</t>
        </is>
      </c>
      <c r="G127" s="10" t="n">
        <v>2500000</v>
      </c>
      <c r="H127" s="10" t="n">
        <v>2500000</v>
      </c>
    </row>
    <row r="128">
      <c r="B128" s="11" t="n">
        <v>46115.65347222222</v>
      </c>
      <c r="C128" s="12" t="inlineStr">
        <is>
          <t>JV-0123</t>
        </is>
      </c>
      <c r="D128" s="12" t="inlineStr">
        <is>
          <t>Penjualan ke reseller Jakarta #1</t>
        </is>
      </c>
      <c r="E128" s="12" t="inlineStr">
        <is>
          <t>1000/4000</t>
        </is>
      </c>
      <c r="F128" s="12" t="inlineStr">
        <is>
          <t>income</t>
        </is>
      </c>
      <c r="G128" s="13" t="n">
        <v>3136326</v>
      </c>
      <c r="H128" s="13" t="n">
        <v>3136326</v>
      </c>
    </row>
    <row r="129">
      <c r="B129" s="8" t="n">
        <v>46116.52569444444</v>
      </c>
      <c r="C129" s="9" t="inlineStr">
        <is>
          <t>JV-0124</t>
        </is>
      </c>
      <c r="D129" s="9" t="inlineStr">
        <is>
          <t>Penjualan ke reseller Jakarta #3</t>
        </is>
      </c>
      <c r="E129" s="9" t="inlineStr">
        <is>
          <t>1000/4000</t>
        </is>
      </c>
      <c r="F129" s="9" t="inlineStr">
        <is>
          <t>income</t>
        </is>
      </c>
      <c r="G129" s="10" t="n">
        <v>3004246</v>
      </c>
      <c r="H129" s="10" t="n">
        <v>3004246</v>
      </c>
    </row>
    <row r="130">
      <c r="B130" s="11" t="n">
        <v>46117.41666666666</v>
      </c>
      <c r="C130" s="12" t="inlineStr">
        <is>
          <t>JV-0125</t>
        </is>
      </c>
      <c r="D130" s="12" t="inlineStr">
        <is>
          <t>Bayar gaji karyawan</t>
        </is>
      </c>
      <c r="E130" s="12" t="inlineStr">
        <is>
          <t>5000/1000</t>
        </is>
      </c>
      <c r="F130" s="12" t="inlineStr">
        <is>
          <t>gaji</t>
        </is>
      </c>
      <c r="G130" s="13" t="n">
        <v>5000000</v>
      </c>
      <c r="H130" s="13" t="n">
        <v>5000000</v>
      </c>
    </row>
    <row r="131">
      <c r="B131" s="8" t="n">
        <v>46121.68194444444</v>
      </c>
      <c r="C131" s="9" t="inlineStr">
        <is>
          <t>JV-0126</t>
        </is>
      </c>
      <c r="D131" s="9" t="inlineStr">
        <is>
          <t>Penjualan grosir #4</t>
        </is>
      </c>
      <c r="E131" s="9" t="inlineStr">
        <is>
          <t>1000/4000</t>
        </is>
      </c>
      <c r="F131" s="9" t="inlineStr">
        <is>
          <t>income</t>
        </is>
      </c>
      <c r="G131" s="10" t="n">
        <v>1771238</v>
      </c>
      <c r="H131" s="10" t="n">
        <v>1771238</v>
      </c>
    </row>
    <row r="132">
      <c r="B132" s="11" t="n">
        <v>46122.45833333334</v>
      </c>
      <c r="C132" s="12" t="inlineStr">
        <is>
          <t>JV-0127</t>
        </is>
      </c>
      <c r="D132" s="12" t="inlineStr">
        <is>
          <t>Bayar listrik &amp; WiFi</t>
        </is>
      </c>
      <c r="E132" s="12" t="inlineStr">
        <is>
          <t>5200/1000</t>
        </is>
      </c>
      <c r="F132" s="12" t="inlineStr">
        <is>
          <t>utilitas</t>
        </is>
      </c>
      <c r="G132" s="13" t="n">
        <v>550976</v>
      </c>
      <c r="H132" s="13" t="n">
        <v>550976</v>
      </c>
    </row>
    <row r="133">
      <c r="B133" s="8" t="n">
        <v>46122.5</v>
      </c>
      <c r="C133" s="9" t="inlineStr">
        <is>
          <t>JV-0128</t>
        </is>
      </c>
      <c r="D133" s="9" t="inlineStr">
        <is>
          <t>Iklan Facebook</t>
        </is>
      </c>
      <c r="E133" s="9" t="inlineStr">
        <is>
          <t>5500/1000</t>
        </is>
      </c>
      <c r="F133" s="9" t="inlineStr">
        <is>
          <t>pemasaran</t>
        </is>
      </c>
      <c r="G133" s="10" t="n">
        <v>681343</v>
      </c>
      <c r="H133" s="10" t="n">
        <v>681343</v>
      </c>
    </row>
    <row r="134">
      <c r="B134" s="11" t="n">
        <v>46122.58333333334</v>
      </c>
      <c r="C134" s="12" t="inlineStr">
        <is>
          <t>JV-0129</t>
        </is>
      </c>
      <c r="D134" s="12" t="inlineStr">
        <is>
          <t>Ojol ke klien</t>
        </is>
      </c>
      <c r="E134" s="12" t="inlineStr">
        <is>
          <t>5400/1000</t>
        </is>
      </c>
      <c r="F134" s="12" t="inlineStr">
        <is>
          <t>transport</t>
        </is>
      </c>
      <c r="G134" s="13" t="n">
        <v>137057</v>
      </c>
      <c r="H134" s="13" t="n">
        <v>137057</v>
      </c>
    </row>
    <row r="135">
      <c r="B135" s="8" t="n">
        <v>46123.58819444444</v>
      </c>
      <c r="C135" s="9" t="inlineStr">
        <is>
          <t>JV-0130</t>
        </is>
      </c>
      <c r="D135" s="9" t="inlineStr">
        <is>
          <t>Training klien</t>
        </is>
      </c>
      <c r="E135" s="9" t="inlineStr">
        <is>
          <t>1000/4100</t>
        </is>
      </c>
      <c r="F135" s="9" t="inlineStr">
        <is>
          <t>income</t>
        </is>
      </c>
      <c r="G135" s="10" t="n">
        <v>4222998</v>
      </c>
      <c r="H135" s="10" t="n">
        <v>4222998</v>
      </c>
    </row>
    <row r="136">
      <c r="B136" s="11" t="n">
        <v>46123.66666666666</v>
      </c>
      <c r="C136" s="12" t="inlineStr">
        <is>
          <t>JV-0131</t>
        </is>
      </c>
      <c r="D136" s="12" t="inlineStr">
        <is>
          <t>Ojol ke klien</t>
        </is>
      </c>
      <c r="E136" s="12" t="inlineStr">
        <is>
          <t>5400/1000</t>
        </is>
      </c>
      <c r="F136" s="12" t="inlineStr">
        <is>
          <t>transport</t>
        </is>
      </c>
      <c r="G136" s="13" t="n">
        <v>62669</v>
      </c>
      <c r="H136" s="13" t="n">
        <v>62669</v>
      </c>
    </row>
    <row r="137">
      <c r="B137" s="8" t="n">
        <v>46125.375</v>
      </c>
      <c r="C137" s="9" t="inlineStr">
        <is>
          <t>JV-0132</t>
        </is>
      </c>
      <c r="D137" s="9" t="inlineStr">
        <is>
          <t>Map &amp; ordner</t>
        </is>
      </c>
      <c r="E137" s="9" t="inlineStr">
        <is>
          <t>5300/1000</t>
        </is>
      </c>
      <c r="F137" s="9" t="inlineStr">
        <is>
          <t>operasional</t>
        </is>
      </c>
      <c r="G137" s="10" t="n">
        <v>61635</v>
      </c>
      <c r="H137" s="10" t="n">
        <v>61635</v>
      </c>
    </row>
    <row r="138">
      <c r="B138" s="11" t="n">
        <v>46126.70833333334</v>
      </c>
      <c r="C138" s="12" t="inlineStr">
        <is>
          <t>JV-0133</t>
        </is>
      </c>
      <c r="D138" s="12" t="inlineStr">
        <is>
          <t>Ojol ke klien</t>
        </is>
      </c>
      <c r="E138" s="12" t="inlineStr">
        <is>
          <t>5400/1000</t>
        </is>
      </c>
      <c r="F138" s="12" t="inlineStr">
        <is>
          <t>transport</t>
        </is>
      </c>
      <c r="G138" s="13" t="n">
        <v>48343</v>
      </c>
      <c r="H138" s="13" t="n">
        <v>48343</v>
      </c>
    </row>
    <row r="139">
      <c r="B139" s="8" t="n">
        <v>46126.79166666666</v>
      </c>
      <c r="C139" s="9" t="inlineStr">
        <is>
          <t>JV-0134</t>
        </is>
      </c>
      <c r="D139" s="9" t="inlineStr">
        <is>
          <t>Boost post marketplace</t>
        </is>
      </c>
      <c r="E139" s="9" t="inlineStr">
        <is>
          <t>5500/1000</t>
        </is>
      </c>
      <c r="F139" s="9" t="inlineStr">
        <is>
          <t>pemasaran</t>
        </is>
      </c>
      <c r="G139" s="10" t="n">
        <v>797229</v>
      </c>
      <c r="H139" s="10" t="n">
        <v>797229</v>
      </c>
    </row>
    <row r="140">
      <c r="B140" s="11" t="n">
        <v>46129.62569444445</v>
      </c>
      <c r="C140" s="12" t="inlineStr">
        <is>
          <t>JV-0135</t>
        </is>
      </c>
      <c r="D140" s="12" t="inlineStr">
        <is>
          <t>Penjualan grosir #2</t>
        </is>
      </c>
      <c r="E140" s="12" t="inlineStr">
        <is>
          <t>1000/4000</t>
        </is>
      </c>
      <c r="F140" s="12" t="inlineStr">
        <is>
          <t>income</t>
        </is>
      </c>
      <c r="G140" s="13" t="n">
        <v>2302527</v>
      </c>
      <c r="H140" s="13" t="n">
        <v>2302527</v>
      </c>
    </row>
    <row r="141">
      <c r="B141" s="8" t="n">
        <v>46136.625</v>
      </c>
      <c r="C141" s="9" t="inlineStr">
        <is>
          <t>JV-0136</t>
        </is>
      </c>
      <c r="D141" s="9" t="inlineStr">
        <is>
          <t>Pengambilan dividen pemilik</t>
        </is>
      </c>
      <c r="E141" s="9" t="inlineStr">
        <is>
          <t>3000/1000</t>
        </is>
      </c>
      <c r="F141" s="9" t="inlineStr"/>
      <c r="G141" s="10" t="n">
        <v>1500000</v>
      </c>
      <c r="H141" s="10" t="n">
        <v>1500000</v>
      </c>
    </row>
    <row r="142">
      <c r="B142" s="11" t="n">
        <v>46136.75</v>
      </c>
      <c r="C142" s="12" t="inlineStr">
        <is>
          <t>JV-0137</t>
        </is>
      </c>
      <c r="D142" s="12" t="inlineStr">
        <is>
          <t>Banner offline</t>
        </is>
      </c>
      <c r="E142" s="12" t="inlineStr">
        <is>
          <t>5500/1000</t>
        </is>
      </c>
      <c r="F142" s="12" t="inlineStr">
        <is>
          <t>pemasaran</t>
        </is>
      </c>
      <c r="G142" s="13" t="n">
        <v>282480</v>
      </c>
      <c r="H142" s="13" t="n">
        <v>282480</v>
      </c>
    </row>
    <row r="143">
      <c r="B143" s="8" t="n">
        <v>46138.54166666666</v>
      </c>
      <c r="C143" s="9" t="inlineStr">
        <is>
          <t>JV-0138</t>
        </is>
      </c>
      <c r="D143" s="9" t="inlineStr">
        <is>
          <t>Grab ke supplier</t>
        </is>
      </c>
      <c r="E143" s="9" t="inlineStr">
        <is>
          <t>5400/1000</t>
        </is>
      </c>
      <c r="F143" s="9" t="inlineStr">
        <is>
          <t>transport</t>
        </is>
      </c>
      <c r="G143" s="10" t="n">
        <v>171151</v>
      </c>
      <c r="H143" s="10" t="n">
        <v>171151</v>
      </c>
    </row>
    <row r="144">
      <c r="B144" s="11" t="n">
        <v>46143.375</v>
      </c>
      <c r="C144" s="12" t="inlineStr">
        <is>
          <t>JV-0139</t>
        </is>
      </c>
      <c r="D144" s="12" t="inlineStr">
        <is>
          <t>Bayar sewa kantor</t>
        </is>
      </c>
      <c r="E144" s="12" t="inlineStr">
        <is>
          <t>5100/1000</t>
        </is>
      </c>
      <c r="F144" s="12" t="inlineStr">
        <is>
          <t>utilitas</t>
        </is>
      </c>
      <c r="G144" s="13" t="n">
        <v>2500000</v>
      </c>
      <c r="H144" s="13" t="n">
        <v>2500000</v>
      </c>
    </row>
    <row r="145">
      <c r="B145" s="8" t="n">
        <v>46144.70833333334</v>
      </c>
      <c r="C145" s="9" t="inlineStr">
        <is>
          <t>JV-0140</t>
        </is>
      </c>
      <c r="D145" s="9" t="inlineStr">
        <is>
          <t>Parkir &amp; tol</t>
        </is>
      </c>
      <c r="E145" s="9" t="inlineStr">
        <is>
          <t>5400/1000</t>
        </is>
      </c>
      <c r="F145" s="9" t="inlineStr">
        <is>
          <t>transport</t>
        </is>
      </c>
      <c r="G145" s="10" t="n">
        <v>94184</v>
      </c>
      <c r="H145" s="10" t="n">
        <v>94184</v>
      </c>
    </row>
    <row r="146">
      <c r="B146" s="11" t="n">
        <v>46147.41666666666</v>
      </c>
      <c r="C146" s="12" t="inlineStr">
        <is>
          <t>JV-0141</t>
        </is>
      </c>
      <c r="D146" s="12" t="inlineStr">
        <is>
          <t>Bayar gaji karyawan</t>
        </is>
      </c>
      <c r="E146" s="12" t="inlineStr">
        <is>
          <t>5000/1000</t>
        </is>
      </c>
      <c r="F146" s="12" t="inlineStr">
        <is>
          <t>gaji</t>
        </is>
      </c>
      <c r="G146" s="13" t="n">
        <v>5000000</v>
      </c>
      <c r="H146" s="13" t="n">
        <v>5000000</v>
      </c>
    </row>
    <row r="147">
      <c r="B147" s="8" t="n">
        <v>46152.45833333334</v>
      </c>
      <c r="C147" s="9" t="inlineStr">
        <is>
          <t>JV-0142</t>
        </is>
      </c>
      <c r="D147" s="9" t="inlineStr">
        <is>
          <t>Bayar listrik &amp; WiFi</t>
        </is>
      </c>
      <c r="E147" s="9" t="inlineStr">
        <is>
          <t>5200/1000</t>
        </is>
      </c>
      <c r="F147" s="9" t="inlineStr">
        <is>
          <t>utilitas</t>
        </is>
      </c>
      <c r="G147" s="10" t="n">
        <v>699560</v>
      </c>
      <c r="H147" s="10" t="n">
        <v>699560</v>
      </c>
    </row>
    <row r="148">
      <c r="B148" s="11" t="n">
        <v>46155.79166666666</v>
      </c>
      <c r="C148" s="12" t="inlineStr">
        <is>
          <t>JV-0143</t>
        </is>
      </c>
      <c r="D148" s="12" t="inlineStr">
        <is>
          <t>Iklan Facebook</t>
        </is>
      </c>
      <c r="E148" s="12" t="inlineStr">
        <is>
          <t>5500/1000</t>
        </is>
      </c>
      <c r="F148" s="12" t="inlineStr">
        <is>
          <t>pemasaran</t>
        </is>
      </c>
      <c r="G148" s="13" t="n">
        <v>355836</v>
      </c>
      <c r="H148" s="13" t="n">
        <v>355836</v>
      </c>
    </row>
    <row r="149">
      <c r="B149" s="8" t="n">
        <v>46156.45833333334</v>
      </c>
      <c r="C149" s="9" t="inlineStr">
        <is>
          <t>JV-0144</t>
        </is>
      </c>
      <c r="D149" s="9" t="inlineStr">
        <is>
          <t>Tinta printer</t>
        </is>
      </c>
      <c r="E149" s="9" t="inlineStr">
        <is>
          <t>5300/1000</t>
        </is>
      </c>
      <c r="F149" s="9" t="inlineStr">
        <is>
          <t>operasional</t>
        </is>
      </c>
      <c r="G149" s="10" t="n">
        <v>108888</v>
      </c>
      <c r="H149" s="10" t="n">
        <v>108888</v>
      </c>
    </row>
    <row r="150">
      <c r="B150" s="11" t="n">
        <v>46156.64513888889</v>
      </c>
      <c r="C150" s="12" t="inlineStr">
        <is>
          <t>JV-0145</t>
        </is>
      </c>
      <c r="D150" s="12" t="inlineStr">
        <is>
          <t>Penjualan grosir #2</t>
        </is>
      </c>
      <c r="E150" s="12" t="inlineStr">
        <is>
          <t>1000/4000</t>
        </is>
      </c>
      <c r="F150" s="12" t="inlineStr">
        <is>
          <t>income</t>
        </is>
      </c>
      <c r="G150" s="13" t="n">
        <v>2972567</v>
      </c>
      <c r="H150" s="13" t="n">
        <v>2972567</v>
      </c>
    </row>
    <row r="151">
      <c r="B151" s="8" t="n">
        <v>46157.77083333334</v>
      </c>
      <c r="C151" s="9" t="inlineStr">
        <is>
          <t>JV-0146</t>
        </is>
      </c>
      <c r="D151" s="9" t="inlineStr">
        <is>
          <t>Penjualan online Shopee #3</t>
        </is>
      </c>
      <c r="E151" s="9" t="inlineStr">
        <is>
          <t>1000/4000</t>
        </is>
      </c>
      <c r="F151" s="9" t="inlineStr">
        <is>
          <t>income</t>
        </is>
      </c>
      <c r="G151" s="10" t="n">
        <v>2449438</v>
      </c>
      <c r="H151" s="10" t="n">
        <v>2449438</v>
      </c>
    </row>
    <row r="152">
      <c r="B152" s="11" t="n">
        <v>46160.45833333334</v>
      </c>
      <c r="C152" s="12" t="inlineStr">
        <is>
          <t>JV-0147</t>
        </is>
      </c>
      <c r="D152" s="12" t="inlineStr">
        <is>
          <t>Beli stok barang dagangan</t>
        </is>
      </c>
      <c r="E152" s="12" t="inlineStr">
        <is>
          <t>1200/1000</t>
        </is>
      </c>
      <c r="F152" s="12" t="inlineStr"/>
      <c r="G152" s="13" t="n">
        <v>2917886</v>
      </c>
      <c r="H152" s="13" t="n">
        <v>2917886</v>
      </c>
    </row>
    <row r="153">
      <c r="B153" s="8" t="n">
        <v>46160.59236111111</v>
      </c>
      <c r="C153" s="9" t="inlineStr">
        <is>
          <t>JV-0148</t>
        </is>
      </c>
      <c r="D153" s="9" t="inlineStr">
        <is>
          <t>Penjualan ke reseller Jakarta #1</t>
        </is>
      </c>
      <c r="E153" s="9" t="inlineStr">
        <is>
          <t>1000/4000</t>
        </is>
      </c>
      <c r="F153" s="9" t="inlineStr">
        <is>
          <t>income</t>
        </is>
      </c>
      <c r="G153" s="10" t="n">
        <v>3045596</v>
      </c>
      <c r="H153" s="10" t="n">
        <v>3045596</v>
      </c>
    </row>
    <row r="154">
      <c r="B154" s="11" t="n">
        <v>46161.66666666666</v>
      </c>
      <c r="C154" s="12" t="inlineStr">
        <is>
          <t>JV-0149</t>
        </is>
      </c>
      <c r="D154" s="12" t="inlineStr">
        <is>
          <t>Boost post marketplace</t>
        </is>
      </c>
      <c r="E154" s="12" t="inlineStr">
        <is>
          <t>5500/1000</t>
        </is>
      </c>
      <c r="F154" s="12" t="inlineStr">
        <is>
          <t>pemasaran</t>
        </is>
      </c>
      <c r="G154" s="13" t="n">
        <v>303880</v>
      </c>
      <c r="H154" s="13" t="n">
        <v>303880</v>
      </c>
    </row>
    <row r="155">
      <c r="B155" s="8" t="n">
        <v>46163.61944444444</v>
      </c>
      <c r="C155" s="9" t="inlineStr">
        <is>
          <t>JV-0150</t>
        </is>
      </c>
      <c r="D155" s="9" t="inlineStr">
        <is>
          <t>Jasa desain logo klien</t>
        </is>
      </c>
      <c r="E155" s="9" t="inlineStr">
        <is>
          <t>1000/4100</t>
        </is>
      </c>
      <c r="F155" s="9" t="inlineStr">
        <is>
          <t>income</t>
        </is>
      </c>
      <c r="G155" s="10" t="n">
        <v>4930649</v>
      </c>
      <c r="H155" s="10" t="n">
        <v>4930649</v>
      </c>
    </row>
    <row r="156">
      <c r="B156" s="11" t="n">
        <v>46165.875</v>
      </c>
      <c r="C156" s="12" t="inlineStr">
        <is>
          <t>JV-0151</t>
        </is>
      </c>
      <c r="D156" s="12" t="inlineStr">
        <is>
          <t>Iklan Instagram</t>
        </is>
      </c>
      <c r="E156" s="12" t="inlineStr">
        <is>
          <t>5500/1000</t>
        </is>
      </c>
      <c r="F156" s="12" t="inlineStr">
        <is>
          <t>pemasaran</t>
        </is>
      </c>
      <c r="G156" s="13" t="n">
        <v>105814</v>
      </c>
      <c r="H156" s="13" t="n">
        <v>105814</v>
      </c>
    </row>
    <row r="157">
      <c r="B157" s="8" t="n">
        <v>46168.47083333333</v>
      </c>
      <c r="C157" s="9" t="inlineStr">
        <is>
          <t>JV-0152</t>
        </is>
      </c>
      <c r="D157" s="9" t="inlineStr">
        <is>
          <t>Penjualan online Shopee #4</t>
        </is>
      </c>
      <c r="E157" s="9" t="inlineStr">
        <is>
          <t>1000/4000</t>
        </is>
      </c>
      <c r="F157" s="9" t="inlineStr">
        <is>
          <t>income</t>
        </is>
      </c>
      <c r="G157" s="10" t="n">
        <v>3148297</v>
      </c>
      <c r="H157" s="10" t="n">
        <v>3148297</v>
      </c>
    </row>
    <row r="158">
      <c r="B158" s="11" t="n">
        <v>46170.58333333334</v>
      </c>
      <c r="C158" s="12" t="inlineStr">
        <is>
          <t>JV-0153</t>
        </is>
      </c>
      <c r="D158" s="12" t="inlineStr">
        <is>
          <t>Parkir &amp; tol</t>
        </is>
      </c>
      <c r="E158" s="12" t="inlineStr">
        <is>
          <t>5400/1000</t>
        </is>
      </c>
      <c r="F158" s="12" t="inlineStr">
        <is>
          <t>transport</t>
        </is>
      </c>
      <c r="G158" s="13" t="n">
        <v>49091</v>
      </c>
      <c r="H158" s="13" t="n">
        <v>49091</v>
      </c>
    </row>
    <row r="159">
      <c r="B159" s="8" t="n">
        <v>46174.375</v>
      </c>
      <c r="C159" s="9" t="inlineStr">
        <is>
          <t>JV-0154</t>
        </is>
      </c>
      <c r="D159" s="9" t="inlineStr">
        <is>
          <t>Bayar sewa kantor</t>
        </is>
      </c>
      <c r="E159" s="9" t="inlineStr">
        <is>
          <t>5100/1000</t>
        </is>
      </c>
      <c r="F159" s="9" t="inlineStr">
        <is>
          <t>utilitas</t>
        </is>
      </c>
      <c r="G159" s="10" t="n">
        <v>2500000</v>
      </c>
      <c r="H159" s="10" t="n">
        <v>2500000</v>
      </c>
    </row>
    <row r="160">
      <c r="B160" s="11" t="n">
        <v>46176.45833333334</v>
      </c>
      <c r="C160" s="12" t="inlineStr">
        <is>
          <t>JV-0155</t>
        </is>
      </c>
      <c r="D160" s="12" t="inlineStr">
        <is>
          <t>Grab ke supplier</t>
        </is>
      </c>
      <c r="E160" s="12" t="inlineStr">
        <is>
          <t>5400/1000</t>
        </is>
      </c>
      <c r="F160" s="12" t="inlineStr">
        <is>
          <t>transport</t>
        </is>
      </c>
      <c r="G160" s="13" t="n">
        <v>66273</v>
      </c>
      <c r="H160" s="13" t="n">
        <v>66273</v>
      </c>
    </row>
    <row r="161">
      <c r="B161" s="8" t="n">
        <v>46178.41666666666</v>
      </c>
      <c r="C161" s="9" t="inlineStr">
        <is>
          <t>JV-0156</t>
        </is>
      </c>
      <c r="D161" s="9" t="inlineStr">
        <is>
          <t>Bayar gaji karyawan</t>
        </is>
      </c>
      <c r="E161" s="9" t="inlineStr">
        <is>
          <t>5000/1000</t>
        </is>
      </c>
      <c r="F161" s="9" t="inlineStr">
        <is>
          <t>gaji</t>
        </is>
      </c>
      <c r="G161" s="10" t="n">
        <v>5000000</v>
      </c>
      <c r="H161" s="10" t="n">
        <v>5000000</v>
      </c>
    </row>
    <row r="162">
      <c r="B162" s="11" t="n">
        <v>46182.66666666666</v>
      </c>
      <c r="C162" s="12" t="inlineStr">
        <is>
          <t>JV-0157</t>
        </is>
      </c>
      <c r="D162" s="12" t="inlineStr">
        <is>
          <t>Ojol ke klien</t>
        </is>
      </c>
      <c r="E162" s="12" t="inlineStr">
        <is>
          <t>5400/1000</t>
        </is>
      </c>
      <c r="F162" s="12" t="inlineStr">
        <is>
          <t>transport</t>
        </is>
      </c>
      <c r="G162" s="13" t="n">
        <v>118040</v>
      </c>
      <c r="H162" s="13" t="n">
        <v>118040</v>
      </c>
    </row>
    <row r="163">
      <c r="B163" s="8" t="n">
        <v>46183.45833333334</v>
      </c>
      <c r="C163" s="9" t="inlineStr">
        <is>
          <t>JV-0158</t>
        </is>
      </c>
      <c r="D163" s="9" t="inlineStr">
        <is>
          <t>Bayar listrik &amp; WiFi</t>
        </is>
      </c>
      <c r="E163" s="9" t="inlineStr">
        <is>
          <t>5200/1000</t>
        </is>
      </c>
      <c r="F163" s="9" t="inlineStr">
        <is>
          <t>utilitas</t>
        </is>
      </c>
      <c r="G163" s="10" t="n">
        <v>638553</v>
      </c>
      <c r="H163" s="10" t="n">
        <v>638553</v>
      </c>
    </row>
    <row r="164">
      <c r="B164" s="11" t="n">
        <v>46187.70833333334</v>
      </c>
      <c r="C164" s="12" t="inlineStr">
        <is>
          <t>JV-0159</t>
        </is>
      </c>
      <c r="D164" s="12" t="inlineStr">
        <is>
          <t>Iklan TikTok</t>
        </is>
      </c>
      <c r="E164" s="12" t="inlineStr">
        <is>
          <t>5500/1000</t>
        </is>
      </c>
      <c r="F164" s="12" t="inlineStr">
        <is>
          <t>pemasaran</t>
        </is>
      </c>
      <c r="G164" s="13" t="n">
        <v>527398</v>
      </c>
      <c r="H164" s="13" t="n">
        <v>527398</v>
      </c>
    </row>
    <row r="165">
      <c r="B165" s="8" t="n">
        <v>46188.45833333334</v>
      </c>
      <c r="C165" s="9" t="inlineStr">
        <is>
          <t>JV-0160</t>
        </is>
      </c>
      <c r="D165" s="9" t="inlineStr">
        <is>
          <t>Ojol ke klien</t>
        </is>
      </c>
      <c r="E165" s="9" t="inlineStr">
        <is>
          <t>5400/1000</t>
        </is>
      </c>
      <c r="F165" s="9" t="inlineStr">
        <is>
          <t>transport</t>
        </is>
      </c>
      <c r="G165" s="10" t="n">
        <v>50311</v>
      </c>
      <c r="H165" s="10" t="n">
        <v>50311</v>
      </c>
    </row>
    <row r="166">
      <c r="B166" s="11" t="n">
        <v>46189.5</v>
      </c>
      <c r="C166" s="12" t="inlineStr">
        <is>
          <t>JV-0161</t>
        </is>
      </c>
      <c r="D166" s="12" t="inlineStr">
        <is>
          <t>Grab ke supplier</t>
        </is>
      </c>
      <c r="E166" s="12" t="inlineStr">
        <is>
          <t>5400/1000</t>
        </is>
      </c>
      <c r="F166" s="12" t="inlineStr">
        <is>
          <t>transport</t>
        </is>
      </c>
      <c r="G166" s="13" t="n">
        <v>194298</v>
      </c>
      <c r="H166" s="13" t="n">
        <v>194298</v>
      </c>
    </row>
    <row r="167">
      <c r="B167" s="8" t="n">
        <v>46191.71388888889</v>
      </c>
      <c r="C167" s="9" t="inlineStr">
        <is>
          <t>JV-0162</t>
        </is>
      </c>
      <c r="D167" s="9" t="inlineStr">
        <is>
          <t>Penjualan online Tokopedia #2</t>
        </is>
      </c>
      <c r="E167" s="9" t="inlineStr">
        <is>
          <t>1000/4000</t>
        </is>
      </c>
      <c r="F167" s="9" t="inlineStr">
        <is>
          <t>income</t>
        </is>
      </c>
      <c r="G167" s="10" t="n">
        <v>2973316</v>
      </c>
      <c r="H167" s="10" t="n">
        <v>2973316</v>
      </c>
    </row>
    <row r="168">
      <c r="B168" s="11" t="n">
        <v>46192.54166666666</v>
      </c>
      <c r="C168" s="12" t="inlineStr">
        <is>
          <t>JV-0163</t>
        </is>
      </c>
      <c r="D168" s="12" t="inlineStr">
        <is>
          <t>Tinta printer</t>
        </is>
      </c>
      <c r="E168" s="12" t="inlineStr">
        <is>
          <t>5300/1000</t>
        </is>
      </c>
      <c r="F168" s="12" t="inlineStr">
        <is>
          <t>operasional</t>
        </is>
      </c>
      <c r="G168" s="13" t="n">
        <v>117945</v>
      </c>
      <c r="H168" s="13" t="n">
        <v>117945</v>
      </c>
    </row>
    <row r="169">
      <c r="B169" s="8" t="n">
        <v>46195.66666666666</v>
      </c>
      <c r="C169" s="9" t="inlineStr">
        <is>
          <t>JV-0164</t>
        </is>
      </c>
      <c r="D169" s="9" t="inlineStr">
        <is>
          <t>Tinta printer</t>
        </is>
      </c>
      <c r="E169" s="9" t="inlineStr">
        <is>
          <t>5300/1000</t>
        </is>
      </c>
      <c r="F169" s="9" t="inlineStr">
        <is>
          <t>operasional</t>
        </is>
      </c>
      <c r="G169" s="10" t="n">
        <v>166893</v>
      </c>
      <c r="H169" s="10" t="n">
        <v>166893</v>
      </c>
    </row>
    <row r="170">
      <c r="B170" s="11" t="n">
        <v>46196.41666666666</v>
      </c>
      <c r="C170" s="12" t="inlineStr">
        <is>
          <t>JV-0165</t>
        </is>
      </c>
      <c r="D170" s="12" t="inlineStr">
        <is>
          <t>Iklan Facebook</t>
        </is>
      </c>
      <c r="E170" s="12" t="inlineStr">
        <is>
          <t>5500/1000</t>
        </is>
      </c>
      <c r="F170" s="12" t="inlineStr">
        <is>
          <t>pemasaran</t>
        </is>
      </c>
      <c r="G170" s="13" t="n">
        <v>260227</v>
      </c>
      <c r="H170" s="13" t="n">
        <v>260227</v>
      </c>
    </row>
    <row r="171">
      <c r="B171" s="8" t="n">
        <v>46198.61944444444</v>
      </c>
      <c r="C171" s="9" t="inlineStr">
        <is>
          <t>JV-0166</t>
        </is>
      </c>
      <c r="D171" s="9" t="inlineStr">
        <is>
          <t>Training klien</t>
        </is>
      </c>
      <c r="E171" s="9" t="inlineStr">
        <is>
          <t>1000/4100</t>
        </is>
      </c>
      <c r="F171" s="9" t="inlineStr">
        <is>
          <t>income</t>
        </is>
      </c>
      <c r="G171" s="10" t="n">
        <v>5957991</v>
      </c>
      <c r="H171" s="10" t="n">
        <v>5957991</v>
      </c>
    </row>
    <row r="172">
      <c r="B172" s="11" t="n">
        <v>46199.71041666667</v>
      </c>
      <c r="C172" s="12" t="inlineStr">
        <is>
          <t>JV-0167</t>
        </is>
      </c>
      <c r="D172" s="12" t="inlineStr">
        <is>
          <t>Penjualan grosir #1</t>
        </is>
      </c>
      <c r="E172" s="12" t="inlineStr">
        <is>
          <t>1000/4000</t>
        </is>
      </c>
      <c r="F172" s="12" t="inlineStr">
        <is>
          <t>income</t>
        </is>
      </c>
      <c r="G172" s="13" t="n">
        <v>4461728</v>
      </c>
      <c r="H172" s="13" t="n">
        <v>4461728</v>
      </c>
    </row>
    <row r="173">
      <c r="B173" s="8" t="n">
        <v>46199.77638888889</v>
      </c>
      <c r="C173" s="9" t="inlineStr">
        <is>
          <t>JV-0168</t>
        </is>
      </c>
      <c r="D173" s="9" t="inlineStr">
        <is>
          <t>Penjualan grosir #3</t>
        </is>
      </c>
      <c r="E173" s="9" t="inlineStr">
        <is>
          <t>1000/4000</t>
        </is>
      </c>
      <c r="F173" s="9" t="inlineStr">
        <is>
          <t>income</t>
        </is>
      </c>
      <c r="G173" s="10" t="n">
        <v>3425750</v>
      </c>
      <c r="H173" s="10" t="n">
        <v>3425750</v>
      </c>
    </row>
    <row r="174">
      <c r="B174" s="11" t="n">
        <v>46204.375</v>
      </c>
      <c r="C174" s="12" t="inlineStr">
        <is>
          <t>JV-0169</t>
        </is>
      </c>
      <c r="D174" s="12" t="inlineStr">
        <is>
          <t>Bayar sewa kantor</t>
        </is>
      </c>
      <c r="E174" s="12" t="inlineStr">
        <is>
          <t>5100/1000</t>
        </is>
      </c>
      <c r="F174" s="12" t="inlineStr">
        <is>
          <t>utilitas</t>
        </is>
      </c>
      <c r="G174" s="13" t="n">
        <v>2500000</v>
      </c>
      <c r="H174" s="13" t="n">
        <v>2500000</v>
      </c>
    </row>
    <row r="175">
      <c r="B175" s="8" t="n">
        <v>46204.70416666667</v>
      </c>
      <c r="C175" s="9" t="inlineStr">
        <is>
          <t>JV-0170</t>
        </is>
      </c>
      <c r="D175" s="9" t="inlineStr">
        <is>
          <t>Penjualan ke reseller Jakarta #3</t>
        </is>
      </c>
      <c r="E175" s="9" t="inlineStr">
        <is>
          <t>1000/4000</t>
        </is>
      </c>
      <c r="F175" s="9" t="inlineStr">
        <is>
          <t>income</t>
        </is>
      </c>
      <c r="G175" s="10" t="n">
        <v>3433062</v>
      </c>
      <c r="H175" s="10" t="n">
        <v>3433062</v>
      </c>
    </row>
    <row r="176">
      <c r="B176" s="11" t="n">
        <v>46208.41666666666</v>
      </c>
      <c r="C176" s="12" t="inlineStr">
        <is>
          <t>JV-0171</t>
        </is>
      </c>
      <c r="D176" s="12" t="inlineStr">
        <is>
          <t>Bayar gaji karyawan</t>
        </is>
      </c>
      <c r="E176" s="12" t="inlineStr">
        <is>
          <t>5000/1000</t>
        </is>
      </c>
      <c r="F176" s="12" t="inlineStr">
        <is>
          <t>gaji</t>
        </is>
      </c>
      <c r="G176" s="13" t="n">
        <v>5000000</v>
      </c>
      <c r="H176" s="13" t="n">
        <v>5000000</v>
      </c>
    </row>
    <row r="177">
      <c r="B177" s="8" t="n">
        <v>46208.625</v>
      </c>
      <c r="C177" s="9" t="inlineStr">
        <is>
          <t>JV-0172</t>
        </is>
      </c>
      <c r="D177" s="9" t="inlineStr">
        <is>
          <t>Kertas</t>
        </is>
      </c>
      <c r="E177" s="9" t="inlineStr">
        <is>
          <t>5300/1000</t>
        </is>
      </c>
      <c r="F177" s="9" t="inlineStr">
        <is>
          <t>operasional</t>
        </is>
      </c>
      <c r="G177" s="10" t="n">
        <v>151936</v>
      </c>
      <c r="H177" s="10" t="n">
        <v>151936</v>
      </c>
    </row>
    <row r="178">
      <c r="B178" s="11" t="n">
        <v>46209.58333333334</v>
      </c>
      <c r="C178" s="12" t="inlineStr">
        <is>
          <t>JV-0173</t>
        </is>
      </c>
      <c r="D178" s="12" t="inlineStr">
        <is>
          <t>Ojol ke klien</t>
        </is>
      </c>
      <c r="E178" s="12" t="inlineStr">
        <is>
          <t>5400/1000</t>
        </is>
      </c>
      <c r="F178" s="12" t="inlineStr">
        <is>
          <t>transport</t>
        </is>
      </c>
      <c r="G178" s="13" t="n">
        <v>43181</v>
      </c>
      <c r="H178" s="13" t="n">
        <v>43181</v>
      </c>
    </row>
    <row r="179">
      <c r="B179" s="8" t="n">
        <v>46210.58333333334</v>
      </c>
      <c r="C179" s="9" t="inlineStr">
        <is>
          <t>JV-0174</t>
        </is>
      </c>
      <c r="D179" s="9" t="inlineStr">
        <is>
          <t>Iklan TikTok</t>
        </is>
      </c>
      <c r="E179" s="9" t="inlineStr">
        <is>
          <t>5500/1000</t>
        </is>
      </c>
      <c r="F179" s="9" t="inlineStr">
        <is>
          <t>pemasaran</t>
        </is>
      </c>
      <c r="G179" s="10" t="n">
        <v>576786</v>
      </c>
      <c r="H179" s="10" t="n">
        <v>576786</v>
      </c>
    </row>
    <row r="180">
      <c r="B180" s="11" t="n">
        <v>46213.375</v>
      </c>
      <c r="C180" s="12" t="inlineStr">
        <is>
          <t>JV-0175</t>
        </is>
      </c>
      <c r="D180" s="12" t="inlineStr">
        <is>
          <t>Tinta printer</t>
        </is>
      </c>
      <c r="E180" s="12" t="inlineStr">
        <is>
          <t>5300/1000</t>
        </is>
      </c>
      <c r="F180" s="12" t="inlineStr">
        <is>
          <t>operasional</t>
        </is>
      </c>
      <c r="G180" s="13" t="n">
        <v>172523</v>
      </c>
      <c r="H180" s="13" t="n">
        <v>172523</v>
      </c>
    </row>
    <row r="181">
      <c r="B181" s="8" t="n">
        <v>46213.45833333334</v>
      </c>
      <c r="C181" s="9" t="inlineStr">
        <is>
          <t>JV-0176</t>
        </is>
      </c>
      <c r="D181" s="9" t="inlineStr">
        <is>
          <t>Bayar listrik &amp; WiFi</t>
        </is>
      </c>
      <c r="E181" s="9" t="inlineStr">
        <is>
          <t>5200/1000</t>
        </is>
      </c>
      <c r="F181" s="9" t="inlineStr">
        <is>
          <t>utilitas</t>
        </is>
      </c>
      <c r="G181" s="10" t="n">
        <v>564251</v>
      </c>
      <c r="H181" s="10" t="n">
        <v>564251</v>
      </c>
    </row>
    <row r="182">
      <c r="B182" s="11" t="n">
        <v>46217.70625</v>
      </c>
      <c r="C182" s="12" t="inlineStr">
        <is>
          <t>JV-0177</t>
        </is>
      </c>
      <c r="D182" s="12" t="inlineStr">
        <is>
          <t>Penjualan ke toko offline #1</t>
        </is>
      </c>
      <c r="E182" s="12" t="inlineStr">
        <is>
          <t>1000/4000</t>
        </is>
      </c>
      <c r="F182" s="12" t="inlineStr">
        <is>
          <t>income</t>
        </is>
      </c>
      <c r="G182" s="13" t="n">
        <v>2000087</v>
      </c>
      <c r="H182" s="13" t="n">
        <v>2000087</v>
      </c>
    </row>
    <row r="183">
      <c r="B183" s="8" t="n">
        <v>46221.45833333334</v>
      </c>
      <c r="C183" s="9" t="inlineStr">
        <is>
          <t>JV-0178</t>
        </is>
      </c>
      <c r="D183" s="9" t="inlineStr">
        <is>
          <t>Beli stok barang dagangan</t>
        </is>
      </c>
      <c r="E183" s="9" t="inlineStr">
        <is>
          <t>1200/1000</t>
        </is>
      </c>
      <c r="F183" s="9" t="inlineStr"/>
      <c r="G183" s="10" t="n">
        <v>3058103</v>
      </c>
      <c r="H183" s="10" t="n">
        <v>3058103</v>
      </c>
    </row>
    <row r="184">
      <c r="B184" s="11" t="n">
        <v>46222.375</v>
      </c>
      <c r="C184" s="12" t="inlineStr">
        <is>
          <t>JV-0179</t>
        </is>
      </c>
      <c r="D184" s="12" t="inlineStr">
        <is>
          <t>Bensin motor ke bank</t>
        </is>
      </c>
      <c r="E184" s="12" t="inlineStr">
        <is>
          <t>5400/1000</t>
        </is>
      </c>
      <c r="F184" s="12" t="inlineStr">
        <is>
          <t>transport</t>
        </is>
      </c>
      <c r="G184" s="13" t="n">
        <v>177951</v>
      </c>
      <c r="H184" s="13" t="n">
        <v>177951</v>
      </c>
    </row>
    <row r="185">
      <c r="B185" s="8" t="n">
        <v>46224.625</v>
      </c>
      <c r="C185" s="9" t="inlineStr">
        <is>
          <t>JV-0180</t>
        </is>
      </c>
      <c r="D185" s="9" t="inlineStr">
        <is>
          <t>Grab ke supplier</t>
        </is>
      </c>
      <c r="E185" s="9" t="inlineStr">
        <is>
          <t>5400/1000</t>
        </is>
      </c>
      <c r="F185" s="9" t="inlineStr">
        <is>
          <t>transport</t>
        </is>
      </c>
      <c r="G185" s="10" t="n">
        <v>142358</v>
      </c>
      <c r="H185" s="10" t="n">
        <v>142358</v>
      </c>
    </row>
    <row r="186">
      <c r="B186" s="11" t="n">
        <v>46224.625</v>
      </c>
      <c r="C186" s="12" t="inlineStr">
        <is>
          <t>JV-0181</t>
        </is>
      </c>
      <c r="D186" s="12" t="inlineStr">
        <is>
          <t>Pengambilan dividen pemilik</t>
        </is>
      </c>
      <c r="E186" s="12" t="inlineStr">
        <is>
          <t>3000/1000</t>
        </is>
      </c>
      <c r="F186" s="12" t="inlineStr"/>
      <c r="G186" s="13" t="n">
        <v>1500000</v>
      </c>
      <c r="H186" s="13" t="n">
        <v>1500000</v>
      </c>
    </row>
    <row r="187">
      <c r="B187" s="8" t="n">
        <v>46228.6875</v>
      </c>
      <c r="C187" s="9" t="inlineStr">
        <is>
          <t>JV-0182</t>
        </is>
      </c>
      <c r="D187" s="9" t="inlineStr">
        <is>
          <t>Penjualan online Tokopedia #2</t>
        </is>
      </c>
      <c r="E187" s="9" t="inlineStr">
        <is>
          <t>1000/4000</t>
        </is>
      </c>
      <c r="F187" s="9" t="inlineStr">
        <is>
          <t>income</t>
        </is>
      </c>
      <c r="G187" s="10" t="n">
        <v>2849339</v>
      </c>
      <c r="H187" s="10" t="n">
        <v>2849339</v>
      </c>
    </row>
    <row r="188">
      <c r="B188" s="11" t="n">
        <v>46228.875</v>
      </c>
      <c r="C188" s="12" t="inlineStr">
        <is>
          <t>JV-0183</t>
        </is>
      </c>
      <c r="D188" s="12" t="inlineStr">
        <is>
          <t>Iklan TikTok</t>
        </is>
      </c>
      <c r="E188" s="12" t="inlineStr">
        <is>
          <t>5500/1000</t>
        </is>
      </c>
      <c r="F188" s="12" t="inlineStr">
        <is>
          <t>pemasaran</t>
        </is>
      </c>
      <c r="G188" s="13" t="n">
        <v>497542</v>
      </c>
      <c r="H188" s="13" t="n">
        <v>497542</v>
      </c>
    </row>
    <row r="189">
      <c r="B189" s="8" t="n">
        <v>46230.56319444445</v>
      </c>
      <c r="C189" s="9" t="inlineStr">
        <is>
          <t>JV-0184</t>
        </is>
      </c>
      <c r="D189" s="9" t="inlineStr">
        <is>
          <t>Penjualan grosir #4</t>
        </is>
      </c>
      <c r="E189" s="9" t="inlineStr">
        <is>
          <t>1000/4000</t>
        </is>
      </c>
      <c r="F189" s="9" t="inlineStr">
        <is>
          <t>income</t>
        </is>
      </c>
      <c r="G189" s="10" t="n">
        <v>2580707</v>
      </c>
      <c r="H189" s="10" t="n">
        <v>2580707</v>
      </c>
    </row>
    <row r="190">
      <c r="B190" s="14" t="inlineStr">
        <is>
          <t>TOTAL</t>
        </is>
      </c>
      <c r="C190" s="14" t="n"/>
      <c r="D190" s="14" t="n"/>
      <c r="E190" s="14" t="n"/>
      <c r="F190" s="14" t="n"/>
      <c r="G190" s="15">
        <f>SUM(G5:G189)</f>
        <v/>
      </c>
      <c r="H190" s="15">
        <f>SUM(H5:H189)</f>
        <v/>
      </c>
    </row>
  </sheetData>
  <mergeCells count="2">
    <mergeCell ref="B190:F190"/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28" customWidth="1" min="3" max="3"/>
    <col width="14" customWidth="1" min="4" max="4"/>
    <col width="12" customWidth="1" min="5" max="5"/>
    <col width="18" customWidth="1" min="6" max="6"/>
    <col width="18" customWidth="1" min="7" max="7"/>
    <col width="18" customWidth="1" min="8" max="8"/>
  </cols>
  <sheetData>
    <row r="2">
      <c r="B2" s="1" t="inlineStr">
        <is>
          <t>BUKU BESAR</t>
        </is>
      </c>
    </row>
    <row r="4">
      <c r="B4" s="3" t="inlineStr">
        <is>
          <t>Kode</t>
        </is>
      </c>
      <c r="C4" s="3" t="inlineStr">
        <is>
          <t>Nama Akun</t>
        </is>
      </c>
      <c r="D4" s="3" t="inlineStr">
        <is>
          <t>Tipe</t>
        </is>
      </c>
      <c r="E4" s="3" t="inlineStr">
        <is>
          <t>Normal</t>
        </is>
      </c>
      <c r="F4" s="3" t="inlineStr">
        <is>
          <t>Debit</t>
        </is>
      </c>
      <c r="G4" s="3" t="inlineStr">
        <is>
          <t>Kredit</t>
        </is>
      </c>
      <c r="H4" s="3" t="inlineStr">
        <is>
          <t>Saldo</t>
        </is>
      </c>
    </row>
    <row r="5">
      <c r="B5" s="12" t="inlineStr">
        <is>
          <t>1000</t>
        </is>
      </c>
      <c r="C5" s="12" t="inlineStr">
        <is>
          <t>Kas &amp; Bank</t>
        </is>
      </c>
      <c r="D5" s="12" t="inlineStr">
        <is>
          <t>Aset</t>
        </is>
      </c>
      <c r="E5" s="12" t="inlineStr">
        <is>
          <t>Debit</t>
        </is>
      </c>
      <c r="F5" s="16" t="n">
        <v>197422764</v>
      </c>
      <c r="G5" s="16" t="n">
        <v>158681843</v>
      </c>
      <c r="H5" s="16" t="n">
        <v>38740921</v>
      </c>
    </row>
    <row r="6">
      <c r="B6" s="9" t="inlineStr">
        <is>
          <t>1100</t>
        </is>
      </c>
      <c r="C6" s="9" t="inlineStr">
        <is>
          <t>Piutang Usaha</t>
        </is>
      </c>
      <c r="D6" s="9" t="inlineStr">
        <is>
          <t>Aset</t>
        </is>
      </c>
      <c r="E6" s="9" t="inlineStr">
        <is>
          <t>Debit</t>
        </is>
      </c>
      <c r="F6" s="17" t="n">
        <v>0</v>
      </c>
      <c r="G6" s="17" t="n">
        <v>0</v>
      </c>
      <c r="H6" s="17" t="n">
        <v>0</v>
      </c>
    </row>
    <row r="7">
      <c r="B7" s="12" t="inlineStr">
        <is>
          <t>1200</t>
        </is>
      </c>
      <c r="C7" s="12" t="inlineStr">
        <is>
          <t>Persediaan</t>
        </is>
      </c>
      <c r="D7" s="12" t="inlineStr">
        <is>
          <t>Aset</t>
        </is>
      </c>
      <c r="E7" s="12" t="inlineStr">
        <is>
          <t>Debit</t>
        </is>
      </c>
      <c r="F7" s="16" t="n">
        <v>11323323</v>
      </c>
      <c r="G7" s="16" t="n">
        <v>0</v>
      </c>
      <c r="H7" s="16" t="n">
        <v>11323323</v>
      </c>
    </row>
    <row r="8">
      <c r="B8" s="9" t="inlineStr">
        <is>
          <t>1500</t>
        </is>
      </c>
      <c r="C8" s="9" t="inlineStr">
        <is>
          <t>Peralatan</t>
        </is>
      </c>
      <c r="D8" s="9" t="inlineStr">
        <is>
          <t>Aset</t>
        </is>
      </c>
      <c r="E8" s="9" t="inlineStr">
        <is>
          <t>Debit</t>
        </is>
      </c>
      <c r="F8" s="17" t="n">
        <v>27000000</v>
      </c>
      <c r="G8" s="17" t="n">
        <v>0</v>
      </c>
      <c r="H8" s="17" t="n">
        <v>27000000</v>
      </c>
    </row>
    <row r="9">
      <c r="B9" s="12" t="inlineStr">
        <is>
          <t>2000</t>
        </is>
      </c>
      <c r="C9" s="12" t="inlineStr">
        <is>
          <t>Utang Usaha</t>
        </is>
      </c>
      <c r="D9" s="12" t="inlineStr">
        <is>
          <t>Liabilitas</t>
        </is>
      </c>
      <c r="E9" s="12" t="inlineStr">
        <is>
          <t>Kredit</t>
        </is>
      </c>
      <c r="F9" s="16" t="n">
        <v>0</v>
      </c>
      <c r="G9" s="16" t="n">
        <v>0</v>
      </c>
      <c r="H9" s="16" t="n">
        <v>0</v>
      </c>
    </row>
    <row r="10">
      <c r="B10" s="9" t="inlineStr">
        <is>
          <t>2100</t>
        </is>
      </c>
      <c r="C10" s="9" t="inlineStr">
        <is>
          <t>Utang Gaji</t>
        </is>
      </c>
      <c r="D10" s="9" t="inlineStr">
        <is>
          <t>Liabilitas</t>
        </is>
      </c>
      <c r="E10" s="9" t="inlineStr">
        <is>
          <t>Kredit</t>
        </is>
      </c>
      <c r="F10" s="17" t="n">
        <v>0</v>
      </c>
      <c r="G10" s="17" t="n">
        <v>0</v>
      </c>
      <c r="H10" s="17" t="n">
        <v>0</v>
      </c>
    </row>
    <row r="11">
      <c r="B11" s="12" t="inlineStr">
        <is>
          <t>2200</t>
        </is>
      </c>
      <c r="C11" s="12" t="inlineStr">
        <is>
          <t>Utang Pajak</t>
        </is>
      </c>
      <c r="D11" s="12" t="inlineStr">
        <is>
          <t>Liabilitas</t>
        </is>
      </c>
      <c r="E11" s="12" t="inlineStr">
        <is>
          <t>Kredit</t>
        </is>
      </c>
      <c r="F11" s="16" t="n">
        <v>0</v>
      </c>
      <c r="G11" s="16" t="n">
        <v>0</v>
      </c>
      <c r="H11" s="16" t="n">
        <v>0</v>
      </c>
    </row>
    <row r="12">
      <c r="B12" s="9" t="inlineStr">
        <is>
          <t>3000</t>
        </is>
      </c>
      <c r="C12" s="9" t="inlineStr">
        <is>
          <t>Modal Pemilik</t>
        </is>
      </c>
      <c r="D12" s="9" t="inlineStr">
        <is>
          <t>Ekuitas</t>
        </is>
      </c>
      <c r="E12" s="9" t="inlineStr">
        <is>
          <t>Kredit</t>
        </is>
      </c>
      <c r="F12" s="17" t="n">
        <v>6000000</v>
      </c>
      <c r="G12" s="17" t="n">
        <v>50000000</v>
      </c>
      <c r="H12" s="17" t="n">
        <v>44000000</v>
      </c>
    </row>
    <row r="13">
      <c r="B13" s="12" t="inlineStr">
        <is>
          <t>3100</t>
        </is>
      </c>
      <c r="C13" s="12" t="inlineStr">
        <is>
          <t>Laba Ditahan</t>
        </is>
      </c>
      <c r="D13" s="12" t="inlineStr">
        <is>
          <t>Ekuitas</t>
        </is>
      </c>
      <c r="E13" s="12" t="inlineStr">
        <is>
          <t>Kredit</t>
        </is>
      </c>
      <c r="F13" s="16" t="n">
        <v>0</v>
      </c>
      <c r="G13" s="16" t="n">
        <v>0</v>
      </c>
      <c r="H13" s="16" t="n">
        <v>0</v>
      </c>
    </row>
    <row r="14">
      <c r="B14" s="9" t="inlineStr">
        <is>
          <t>4000</t>
        </is>
      </c>
      <c r="C14" s="9" t="inlineStr">
        <is>
          <t>Pendapatan Penjualan</t>
        </is>
      </c>
      <c r="D14" s="9" t="inlineStr">
        <is>
          <t>Pendapatan</t>
        </is>
      </c>
      <c r="E14" s="9" t="inlineStr">
        <is>
          <t>Kredit</t>
        </is>
      </c>
      <c r="F14" s="17" t="n">
        <v>0</v>
      </c>
      <c r="G14" s="17" t="n">
        <v>112377528</v>
      </c>
      <c r="H14" s="17" t="n">
        <v>112377528</v>
      </c>
    </row>
    <row r="15">
      <c r="B15" s="12" t="inlineStr">
        <is>
          <t>4100</t>
        </is>
      </c>
      <c r="C15" s="12" t="inlineStr">
        <is>
          <t>Pendapatan Jasa</t>
        </is>
      </c>
      <c r="D15" s="12" t="inlineStr">
        <is>
          <t>Pendapatan</t>
        </is>
      </c>
      <c r="E15" s="12" t="inlineStr">
        <is>
          <t>Kredit</t>
        </is>
      </c>
      <c r="F15" s="16" t="n">
        <v>0</v>
      </c>
      <c r="G15" s="16" t="n">
        <v>35045236</v>
      </c>
      <c r="H15" s="16" t="n">
        <v>35045236</v>
      </c>
    </row>
    <row r="16">
      <c r="B16" s="9" t="inlineStr">
        <is>
          <t>5000</t>
        </is>
      </c>
      <c r="C16" s="9" t="inlineStr">
        <is>
          <t>Beban Gaji</t>
        </is>
      </c>
      <c r="D16" s="9" t="inlineStr">
        <is>
          <t>Beban</t>
        </is>
      </c>
      <c r="E16" s="9" t="inlineStr">
        <is>
          <t>Debit</t>
        </is>
      </c>
      <c r="F16" s="17" t="n">
        <v>60000000</v>
      </c>
      <c r="G16" s="17" t="n">
        <v>0</v>
      </c>
      <c r="H16" s="17" t="n">
        <v>60000000</v>
      </c>
    </row>
    <row r="17">
      <c r="B17" s="12" t="inlineStr">
        <is>
          <t>5100</t>
        </is>
      </c>
      <c r="C17" s="12" t="inlineStr">
        <is>
          <t>Beban Sewa</t>
        </is>
      </c>
      <c r="D17" s="12" t="inlineStr">
        <is>
          <t>Beban</t>
        </is>
      </c>
      <c r="E17" s="12" t="inlineStr">
        <is>
          <t>Debit</t>
        </is>
      </c>
      <c r="F17" s="16" t="n">
        <v>30000000</v>
      </c>
      <c r="G17" s="16" t="n">
        <v>0</v>
      </c>
      <c r="H17" s="16" t="n">
        <v>30000000</v>
      </c>
    </row>
    <row r="18">
      <c r="B18" s="9" t="inlineStr">
        <is>
          <t>5200</t>
        </is>
      </c>
      <c r="C18" s="9" t="inlineStr">
        <is>
          <t>Beban Utilitas</t>
        </is>
      </c>
      <c r="D18" s="9" t="inlineStr">
        <is>
          <t>Beban</t>
        </is>
      </c>
      <c r="E18" s="9" t="inlineStr">
        <is>
          <t>Debit</t>
        </is>
      </c>
      <c r="F18" s="17" t="n">
        <v>7007983</v>
      </c>
      <c r="G18" s="17" t="n">
        <v>0</v>
      </c>
      <c r="H18" s="17" t="n">
        <v>7007983</v>
      </c>
    </row>
    <row r="19">
      <c r="B19" s="12" t="inlineStr">
        <is>
          <t>5300</t>
        </is>
      </c>
      <c r="C19" s="12" t="inlineStr">
        <is>
          <t>Beban Perlengkapan Kantor</t>
        </is>
      </c>
      <c r="D19" s="12" t="inlineStr">
        <is>
          <t>Beban</t>
        </is>
      </c>
      <c r="E19" s="12" t="inlineStr">
        <is>
          <t>Debit</t>
        </is>
      </c>
      <c r="F19" s="16" t="n">
        <v>2286092</v>
      </c>
      <c r="G19" s="16" t="n">
        <v>0</v>
      </c>
      <c r="H19" s="16" t="n">
        <v>2286092</v>
      </c>
    </row>
    <row r="20">
      <c r="B20" s="9" t="inlineStr">
        <is>
          <t>5400</t>
        </is>
      </c>
      <c r="C20" s="9" t="inlineStr">
        <is>
          <t>Beban Transportasi</t>
        </is>
      </c>
      <c r="D20" s="9" t="inlineStr">
        <is>
          <t>Beban</t>
        </is>
      </c>
      <c r="E20" s="9" t="inlineStr">
        <is>
          <t>Debit</t>
        </is>
      </c>
      <c r="F20" s="17" t="n">
        <v>4185038</v>
      </c>
      <c r="G20" s="17" t="n">
        <v>0</v>
      </c>
      <c r="H20" s="17" t="n">
        <v>4185038</v>
      </c>
    </row>
    <row r="21">
      <c r="B21" s="12" t="inlineStr">
        <is>
          <t>5500</t>
        </is>
      </c>
      <c r="C21" s="12" t="inlineStr">
        <is>
          <t>Beban Pemasaran</t>
        </is>
      </c>
      <c r="D21" s="12" t="inlineStr">
        <is>
          <t>Beban</t>
        </is>
      </c>
      <c r="E21" s="12" t="inlineStr">
        <is>
          <t>Debit</t>
        </is>
      </c>
      <c r="F21" s="16" t="n">
        <v>10879407</v>
      </c>
      <c r="G21" s="16" t="n">
        <v>0</v>
      </c>
      <c r="H21" s="16" t="n">
        <v>10879407</v>
      </c>
    </row>
    <row r="22">
      <c r="B22" s="9" t="inlineStr">
        <is>
          <t>5600</t>
        </is>
      </c>
      <c r="C22" s="9" t="inlineStr">
        <is>
          <t>Beban Penyusutan</t>
        </is>
      </c>
      <c r="D22" s="9" t="inlineStr">
        <is>
          <t>Beban</t>
        </is>
      </c>
      <c r="E22" s="9" t="inlineStr">
        <is>
          <t>Debit</t>
        </is>
      </c>
      <c r="F22" s="17" t="n">
        <v>0</v>
      </c>
      <c r="G22" s="17" t="n">
        <v>0</v>
      </c>
      <c r="H22" s="17" t="n">
        <v>0</v>
      </c>
    </row>
    <row r="23">
      <c r="B23" s="12" t="inlineStr">
        <is>
          <t>5700</t>
        </is>
      </c>
      <c r="C23" s="12" t="inlineStr">
        <is>
          <t>Beban Bunga</t>
        </is>
      </c>
      <c r="D23" s="12" t="inlineStr">
        <is>
          <t>Beban</t>
        </is>
      </c>
      <c r="E23" s="12" t="inlineStr">
        <is>
          <t>Debit</t>
        </is>
      </c>
      <c r="F23" s="16" t="n">
        <v>0</v>
      </c>
      <c r="G23" s="16" t="n">
        <v>0</v>
      </c>
      <c r="H23" s="16" t="n">
        <v>0</v>
      </c>
    </row>
    <row r="24">
      <c r="B24" s="9" t="inlineStr">
        <is>
          <t>5800</t>
        </is>
      </c>
      <c r="C24" s="9" t="inlineStr">
        <is>
          <t>Beban Lain-lain</t>
        </is>
      </c>
      <c r="D24" s="9" t="inlineStr">
        <is>
          <t>Beban</t>
        </is>
      </c>
      <c r="E24" s="9" t="inlineStr">
        <is>
          <t>Debit</t>
        </is>
      </c>
      <c r="F24" s="17" t="n">
        <v>0</v>
      </c>
      <c r="G24" s="17" t="n">
        <v>0</v>
      </c>
      <c r="H24" s="17" t="n">
        <v>0</v>
      </c>
    </row>
    <row r="25">
      <c r="B25" s="14" t="inlineStr">
        <is>
          <t>TOTAL</t>
        </is>
      </c>
      <c r="C25" s="14" t="n"/>
      <c r="D25" s="14" t="n"/>
      <c r="E25" s="14" t="n"/>
      <c r="F25" s="15">
        <f>SUM(F5:F24)</f>
        <v/>
      </c>
      <c r="G25" s="15">
        <f>SUM(G5:G24)</f>
        <v/>
      </c>
      <c r="H25" s="15">
        <f>SUM(H5:H24)</f>
        <v/>
      </c>
    </row>
  </sheetData>
  <mergeCells count="2">
    <mergeCell ref="B25:E25"/>
    <mergeCell ref="B2:I2"/>
  </mergeCells>
  <conditionalFormatting sqref="H5:H24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8" customWidth="1" min="3" max="3"/>
    <col width="18" customWidth="1" min="4" max="4"/>
  </cols>
  <sheetData>
    <row r="2">
      <c r="B2" s="1" t="inlineStr">
        <is>
          <t>LAPORAN LABA RUGI</t>
        </is>
      </c>
    </row>
    <row r="4">
      <c r="B4" s="18" t="inlineStr">
        <is>
          <t>PENDAPATAN</t>
        </is>
      </c>
    </row>
    <row r="5">
      <c r="B5" s="12" t="inlineStr">
        <is>
          <t xml:space="preserve">  Pendapatan Penjualan</t>
        </is>
      </c>
      <c r="C5" s="16" t="n">
        <v>112377528</v>
      </c>
      <c r="D5" s="19" t="n"/>
    </row>
    <row r="6">
      <c r="B6" s="12" t="inlineStr">
        <is>
          <t xml:space="preserve">  Pendapatan Jasa</t>
        </is>
      </c>
      <c r="C6" s="16" t="n">
        <v>35045236</v>
      </c>
      <c r="D6" s="19" t="n"/>
    </row>
    <row r="7">
      <c r="B7" s="14" t="inlineStr">
        <is>
          <t>Total Pendapatan</t>
        </is>
      </c>
      <c r="C7" s="15">
        <f>SUM(C5:C6)</f>
        <v/>
      </c>
      <c r="D7" s="20" t="n"/>
    </row>
    <row r="9">
      <c r="B9" s="18" t="inlineStr">
        <is>
          <t>BEBAN OPERASIONAL</t>
        </is>
      </c>
    </row>
    <row r="10">
      <c r="B10" s="12" t="inlineStr">
        <is>
          <t xml:space="preserve">  Beban Sewa</t>
        </is>
      </c>
      <c r="C10" s="19" t="n"/>
      <c r="D10" s="16" t="n">
        <v>30000000</v>
      </c>
    </row>
    <row r="11">
      <c r="B11" s="12" t="inlineStr">
        <is>
          <t xml:space="preserve">  Beban Transportasi</t>
        </is>
      </c>
      <c r="C11" s="19" t="n"/>
      <c r="D11" s="16" t="n">
        <v>4185038</v>
      </c>
    </row>
    <row r="12">
      <c r="B12" s="12" t="inlineStr">
        <is>
          <t xml:space="preserve">  Beban Gaji</t>
        </is>
      </c>
      <c r="C12" s="19" t="n"/>
      <c r="D12" s="16" t="n">
        <v>60000000</v>
      </c>
    </row>
    <row r="13">
      <c r="B13" s="12" t="inlineStr">
        <is>
          <t xml:space="preserve">  Beban Perlengkapan Kantor</t>
        </is>
      </c>
      <c r="C13" s="19" t="n"/>
      <c r="D13" s="16" t="n">
        <v>2286092</v>
      </c>
    </row>
    <row r="14">
      <c r="B14" s="12" t="inlineStr">
        <is>
          <t xml:space="preserve">  Beban Pemasaran</t>
        </is>
      </c>
      <c r="C14" s="19" t="n"/>
      <c r="D14" s="16" t="n">
        <v>10879407</v>
      </c>
    </row>
    <row r="15">
      <c r="B15" s="12" t="inlineStr">
        <is>
          <t xml:space="preserve">  Beban Utilitas</t>
        </is>
      </c>
      <c r="C15" s="19" t="n"/>
      <c r="D15" s="16" t="n">
        <v>7007983</v>
      </c>
    </row>
    <row r="16">
      <c r="B16" s="14" t="inlineStr">
        <is>
          <t>Total Beban</t>
        </is>
      </c>
      <c r="C16" s="20" t="n"/>
      <c r="D16" s="15">
        <f>SUM(D10:D15)</f>
        <v/>
      </c>
    </row>
    <row r="17">
      <c r="B17" s="21" t="inlineStr">
        <is>
          <t>LABA (RUGI) BERSIH</t>
        </is>
      </c>
      <c r="C17" s="22">
        <f>C7-D16</f>
        <v/>
      </c>
      <c r="D17" s="23" t="n"/>
    </row>
  </sheetData>
  <mergeCells count="3">
    <mergeCell ref="B9:D9"/>
    <mergeCell ref="B2:D2"/>
    <mergeCell ref="B4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D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20" customWidth="1" min="3" max="3"/>
    <col width="4" customWidth="1" min="4" max="4"/>
  </cols>
  <sheetData>
    <row r="2">
      <c r="B2" s="1" t="inlineStr">
        <is>
          <t>NERACA</t>
        </is>
      </c>
    </row>
    <row r="4">
      <c r="B4" s="24" t="inlineStr">
        <is>
          <t>ASET</t>
        </is>
      </c>
    </row>
    <row r="5">
      <c r="B5" s="12" t="inlineStr">
        <is>
          <t xml:space="preserve">  Kas &amp; Bank</t>
        </is>
      </c>
      <c r="C5" s="16" t="n">
        <v>38740921</v>
      </c>
      <c r="D5" s="19" t="n"/>
    </row>
    <row r="6">
      <c r="B6" s="12" t="inlineStr">
        <is>
          <t xml:space="preserve">  Persediaan</t>
        </is>
      </c>
      <c r="C6" s="16" t="n">
        <v>11323323</v>
      </c>
      <c r="D6" s="19" t="n"/>
    </row>
    <row r="7">
      <c r="B7" s="12" t="inlineStr">
        <is>
          <t xml:space="preserve">  Peralatan</t>
        </is>
      </c>
      <c r="C7" s="16" t="n">
        <v>27000000</v>
      </c>
      <c r="D7" s="19" t="n"/>
    </row>
    <row r="8">
      <c r="B8" s="14" t="inlineStr">
        <is>
          <t>TOTAL ASET</t>
        </is>
      </c>
      <c r="C8" s="15" t="n">
        <v>77064244</v>
      </c>
      <c r="D8" s="20" t="n"/>
    </row>
    <row r="10">
      <c r="B10" s="24" t="inlineStr">
        <is>
          <t>LIABILITAS</t>
        </is>
      </c>
    </row>
    <row r="11">
      <c r="B11" s="25" t="inlineStr">
        <is>
          <t xml:space="preserve">  (tidak ada liabilitas)</t>
        </is>
      </c>
    </row>
    <row r="12">
      <c r="B12" s="14" t="inlineStr">
        <is>
          <t>TOTAL LIABILITAS</t>
        </is>
      </c>
      <c r="C12" s="15" t="n">
        <v>0</v>
      </c>
      <c r="D12" s="20" t="n"/>
    </row>
    <row r="14">
      <c r="B14" s="24" t="inlineStr">
        <is>
          <t>EKUITAS</t>
        </is>
      </c>
    </row>
    <row r="15">
      <c r="B15" s="12" t="inlineStr">
        <is>
          <t xml:space="preserve">  Modal Pemilik</t>
        </is>
      </c>
      <c r="C15" s="16" t="n">
        <v>44000000</v>
      </c>
      <c r="D15" s="19" t="n"/>
    </row>
    <row r="16">
      <c r="B16" s="12" t="inlineStr">
        <is>
          <t xml:space="preserve">  Laba Tahun Berjalan</t>
        </is>
      </c>
      <c r="C16" s="16" t="n">
        <v>33064244</v>
      </c>
      <c r="D16" s="19" t="n"/>
    </row>
    <row r="17">
      <c r="B17" s="14" t="inlineStr">
        <is>
          <t>TOTAL EKUITAS</t>
        </is>
      </c>
      <c r="C17" s="15" t="n">
        <v>77064244</v>
      </c>
      <c r="D17" s="20" t="n"/>
    </row>
    <row r="18">
      <c r="B18" s="14" t="inlineStr">
        <is>
          <t>TOTAL LIAB + EKUITAS</t>
        </is>
      </c>
      <c r="C18" s="15" t="n">
        <v>77064244</v>
      </c>
      <c r="D18" s="20" t="n"/>
    </row>
  </sheetData>
  <mergeCells count="4">
    <mergeCell ref="B10:D10"/>
    <mergeCell ref="B14:D14"/>
    <mergeCell ref="B2:D2"/>
    <mergeCell ref="B4:D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1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2" customWidth="1" min="3" max="3"/>
    <col width="18" customWidth="1" min="4" max="4"/>
    <col width="18" customWidth="1" min="5" max="5"/>
    <col width="18" customWidth="1" min="6" max="6"/>
  </cols>
  <sheetData>
    <row r="2">
      <c r="B2" s="1" t="inlineStr">
        <is>
          <t>PENGELUARAN PER KATEGORI</t>
        </is>
      </c>
    </row>
    <row r="4">
      <c r="B4" s="3" t="inlineStr">
        <is>
          <t>Kategori</t>
        </is>
      </c>
      <c r="C4" s="3" t="inlineStr">
        <is>
          <t>Target %</t>
        </is>
      </c>
      <c r="D4" s="3" t="inlineStr">
        <is>
          <t>Target (Rp)</t>
        </is>
      </c>
      <c r="E4" s="3" t="inlineStr">
        <is>
          <t>Realisasi (Rp)</t>
        </is>
      </c>
      <c r="F4" s="3" t="inlineStr">
        <is>
          <t>Selisih</t>
        </is>
      </c>
    </row>
    <row r="5">
      <c r="B5" s="12" t="inlineStr">
        <is>
          <t>Operasional</t>
        </is>
      </c>
      <c r="C5" s="26" t="n">
        <v>0.05</v>
      </c>
      <c r="D5" s="16" t="n">
        <v>7371138.2</v>
      </c>
      <c r="E5" s="16" t="n">
        <v>2286092</v>
      </c>
      <c r="F5" s="16" t="n">
        <v>5085046.2</v>
      </c>
    </row>
    <row r="6">
      <c r="B6" s="12" t="inlineStr">
        <is>
          <t>Gaji</t>
        </is>
      </c>
      <c r="C6" s="26" t="n">
        <v>0.3</v>
      </c>
      <c r="D6" s="16" t="n">
        <v>44226829.2</v>
      </c>
      <c r="E6" s="16" t="n">
        <v>60000000</v>
      </c>
      <c r="F6" s="16" t="n">
        <v>-15773170.8</v>
      </c>
    </row>
    <row r="7">
      <c r="B7" s="12" t="inlineStr">
        <is>
          <t>Pemasaran</t>
        </is>
      </c>
      <c r="C7" s="26" t="n">
        <v>0.1</v>
      </c>
      <c r="D7" s="16" t="n">
        <v>14742276.4</v>
      </c>
      <c r="E7" s="16" t="n">
        <v>10879407</v>
      </c>
      <c r="F7" s="16" t="n">
        <v>3862869.4</v>
      </c>
    </row>
    <row r="8">
      <c r="B8" s="12" t="inlineStr">
        <is>
          <t>Peralatan</t>
        </is>
      </c>
      <c r="C8" s="26" t="n">
        <v>0.05</v>
      </c>
      <c r="D8" s="16" t="n">
        <v>7371138.2</v>
      </c>
      <c r="E8" s="16" t="n">
        <v>27000000</v>
      </c>
      <c r="F8" s="16" t="n">
        <v>-19628861.8</v>
      </c>
    </row>
    <row r="9">
      <c r="B9" s="12" t="inlineStr">
        <is>
          <t>Utilitas</t>
        </is>
      </c>
      <c r="C9" s="26" t="n">
        <v>0.08</v>
      </c>
      <c r="D9" s="16" t="n">
        <v>11793821.12</v>
      </c>
      <c r="E9" s="16" t="n">
        <v>37007983</v>
      </c>
      <c r="F9" s="16" t="n">
        <v>-25214161.88</v>
      </c>
    </row>
    <row r="10">
      <c r="B10" s="12" t="inlineStr">
        <is>
          <t>Transport</t>
        </is>
      </c>
      <c r="C10" s="26" t="n">
        <v>0.05</v>
      </c>
      <c r="D10" s="16" t="n">
        <v>7371138.2</v>
      </c>
      <c r="E10" s="16" t="n">
        <v>4185038</v>
      </c>
      <c r="F10" s="16" t="n">
        <v>3186100.2</v>
      </c>
    </row>
  </sheetData>
  <mergeCells count="1">
    <mergeCell ref="B2:F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2026-08-30T05:10:16Z</dcterms:created>
  <dcterms:modified xsi:type="dcterms:W3CDTF">2026-08-30T05:10:16Z</dcterms:modified>
</cp:coreProperties>
</file>